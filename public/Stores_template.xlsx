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in\Downloads\"/>
    </mc:Choice>
  </mc:AlternateContent>
  <xr:revisionPtr revIDLastSave="0" documentId="8_{BAA56E33-1B73-4225-8D7D-DE0C9083ADB6}" xr6:coauthVersionLast="47" xr6:coauthVersionMax="47" xr10:uidLastSave="{00000000-0000-0000-0000-000000000000}"/>
  <bookViews>
    <workbookView xWindow="-120" yWindow="-120" windowWidth="29040" windowHeight="15720" activeTab="1" xr2:uid="{EC3735E2-791F-42A3-84E5-E82C576F801B}"/>
  </bookViews>
  <sheets>
    <sheet name="Sheet1" sheetId="2" r:id="rId1"/>
    <sheet name="NUMERICAL ORDER" sheetId="1" r:id="rId2"/>
  </sheets>
  <definedNames>
    <definedName name="_xlnm._FilterDatabase" localSheetId="1" hidden="1">'NUMERICAL ORDER'!$A$1:$P$2</definedName>
  </definedNames>
  <calcPr calcId="191028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48" i="2"/>
  <c r="F49" i="2"/>
  <c r="F50" i="2"/>
</calcChain>
</file>

<file path=xl/sharedStrings.xml><?xml version="1.0" encoding="utf-8"?>
<sst xmlns="http://schemas.openxmlformats.org/spreadsheetml/2006/main" count="156" uniqueCount="68">
  <si>
    <t>Region</t>
  </si>
  <si>
    <t>District</t>
  </si>
  <si>
    <t>Store</t>
  </si>
  <si>
    <t>Store Leader</t>
  </si>
  <si>
    <t>Kitchen</t>
  </si>
  <si>
    <t>Kitchen Manager</t>
  </si>
  <si>
    <t>Address</t>
  </si>
  <si>
    <t>City</t>
  </si>
  <si>
    <t>State</t>
  </si>
  <si>
    <t>County</t>
  </si>
  <si>
    <t>Zip</t>
  </si>
  <si>
    <t>Phone</t>
  </si>
  <si>
    <t>Fax</t>
  </si>
  <si>
    <t>Opened</t>
  </si>
  <si>
    <t>Comp Store</t>
  </si>
  <si>
    <t>Bottler</t>
  </si>
  <si>
    <t>Same Store Sales</t>
  </si>
  <si>
    <t>Grand Total</t>
  </si>
  <si>
    <t>1976</t>
  </si>
  <si>
    <t>Qtr1</t>
  </si>
  <si>
    <t>Jan</t>
  </si>
  <si>
    <t>1988</t>
  </si>
  <si>
    <t>Qtr3</t>
  </si>
  <si>
    <t>Sep</t>
  </si>
  <si>
    <t>1992</t>
  </si>
  <si>
    <t>Jul</t>
  </si>
  <si>
    <t>1996</t>
  </si>
  <si>
    <t>Qtr2</t>
  </si>
  <si>
    <t>May</t>
  </si>
  <si>
    <t>1997</t>
  </si>
  <si>
    <t>Mar</t>
  </si>
  <si>
    <t>Qtr4</t>
  </si>
  <si>
    <t>Dec</t>
  </si>
  <si>
    <t>1999</t>
  </si>
  <si>
    <t>Feb</t>
  </si>
  <si>
    <t>2000</t>
  </si>
  <si>
    <t>2001</t>
  </si>
  <si>
    <t>Oct</t>
  </si>
  <si>
    <t>2002</t>
  </si>
  <si>
    <t>Aug</t>
  </si>
  <si>
    <t>2003</t>
  </si>
  <si>
    <t>Apr</t>
  </si>
  <si>
    <t>2005</t>
  </si>
  <si>
    <t>2006</t>
  </si>
  <si>
    <t>2007</t>
  </si>
  <si>
    <t>2008</t>
  </si>
  <si>
    <t>Nov</t>
  </si>
  <si>
    <t>2011</t>
  </si>
  <si>
    <t>2012</t>
  </si>
  <si>
    <t>2013</t>
  </si>
  <si>
    <t>2014</t>
  </si>
  <si>
    <t>Jun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</si>
  <si>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</si>
  <si>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</si>
  <si>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</si>
  <si>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</si>
  <si>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</si>
  <si>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</si>
  <si>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</si>
  <si>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</si>
  <si>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</si>
  <si>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</si>
  <si>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</si>
  <si>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Years (Opened)</t>
  </si>
  <si>
    <t>Quarters (Opened)</t>
  </si>
  <si>
    <t>Months (Opened)</t>
  </si>
  <si>
    <t>United</t>
  </si>
  <si>
    <t>start tracking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</si>
</sst>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6" x14ac:knownFonts="1">
    <font>
      <sz val="11"/>
      <color rgb="FF000000"/>
      <name val="Calibri"/>
    </font>
    <font>
      <sz val="12"/>
      <color rgb="FF000000"/>
      <name val="Arial Nova"/>
      <family val="2"/>
    </font>
    <font>
      <sz val="12"/>
      <name val="Arial Nova"/>
      <family val="2"/>
    </font>
    <font>
      <b/>
      <sz val="12"/>
      <color rgb="FF000000"/>
      <name val="Arial Nova"/>
      <family val="2"/>
    </font>
    <font>
      <b/>
      <sz val="12"/>
      <name val="Arial Nova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14" fontId="0" fillId="0" borderId="0" xfId="0" applyNumberFormat="1"/>
    <xf numFmtId="0" fontId="5" fillId="0" borderId="0" xfId="0" applyFont="1"/>
    <xf numFmtId="0" fontId="3" fillId="2" borderId="0" xfId="0" applyFont="1" applyFill="1"/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12"/>
        <name val="Arial Nov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"/>
        <family val="2"/>
        <scheme val="none"/>
      </font>
      <numFmt numFmtId="164" formatCode="[&lt;=9999999]###\-####;\(###\)\ ###\-#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"/>
        <family val="2"/>
        <scheme val="none"/>
      </font>
      <numFmt numFmtId="164" formatCode="[&lt;=9999999]###\-####;\(###\)\ ###\-#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ova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rial Nov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 Nova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ov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 Nov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 Nova"/>
        <family val="2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nnifer Reardon" refreshedDate="46080.552724537039" createdVersion="8" refreshedVersion="8" minRefreshableVersion="3" recordCount="110" xr:uid="{D3022904-A1CC-4922-83F9-9E142540F09B}">
  <cacheSource type="worksheet">
    <worksheetSource name="Table1"/>
  </cacheSource>
  <cacheFields count="20">
    <cacheField name="Region" numFmtId="0">
      <sharedItems containsBlank="1"/>
    </cacheField>
    <cacheField name="District" numFmtId="0">
      <sharedItems containsBlank="1"/>
    </cacheField>
    <cacheField name="Store" numFmtId="0">
      <sharedItems containsSemiMixedTypes="0" containsString="0" containsNumber="1" containsInteger="1" minValue="1" maxValue="3001" count="110">
        <n v="1"/>
        <n v="7"/>
        <n v="13"/>
        <n v="16"/>
        <n v="17"/>
        <n v="20"/>
        <n v="5"/>
        <n v="19"/>
        <n v="21"/>
        <n v="22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5"/>
        <n v="43"/>
        <n v="44"/>
        <n v="46"/>
        <n v="48"/>
        <n v="47"/>
        <n v="49"/>
        <n v="51"/>
        <n v="54"/>
        <n v="56"/>
        <n v="53"/>
        <n v="57"/>
        <n v="52"/>
        <n v="55"/>
        <n v="58"/>
        <n v="59"/>
        <n v="60"/>
        <n v="62"/>
        <n v="61"/>
        <n v="63"/>
        <n v="64"/>
        <n v="65"/>
        <n v="66"/>
        <n v="67"/>
        <n v="68"/>
        <n v="76"/>
        <n v="69"/>
        <n v="70"/>
        <n v="72"/>
        <n v="71"/>
        <n v="77"/>
        <n v="74"/>
        <n v="78"/>
        <n v="73"/>
        <n v="79"/>
        <n v="80"/>
        <n v="82"/>
        <n v="83"/>
        <n v="3001"/>
        <n v="84"/>
        <n v="81"/>
        <n v="90"/>
        <n v="88"/>
        <n v="87"/>
        <n v="91"/>
        <n v="92"/>
        <n v="96"/>
        <n v="94"/>
        <n v="95"/>
        <n v="98"/>
        <n v="103"/>
        <n v="111"/>
        <n v="123"/>
        <n v="109"/>
        <n v="97"/>
        <n v="105"/>
        <n v="112"/>
        <n v="110"/>
        <n v="100"/>
        <n v="86"/>
        <n v="117"/>
        <n v="102"/>
        <n v="125"/>
        <n v="120"/>
        <n v="124"/>
        <n v="104"/>
        <n v="89"/>
        <n v="121"/>
        <n v="107"/>
        <n v="122"/>
        <n v="116"/>
        <n v="118"/>
        <n v="115"/>
        <n v="132"/>
        <n v="108"/>
        <n v="119"/>
        <n v="114"/>
        <n v="126"/>
        <n v="128"/>
        <n v="130"/>
        <n v="129"/>
        <n v="131"/>
      </sharedItems>
    </cacheField>
    <cacheField name="Store Leader" numFmtId="0">
      <sharedItems containsBlank="1"/>
    </cacheField>
    <cacheField name="Kitchen" numFmtId="0">
      <sharedItems containsBlank="1"/>
    </cacheField>
    <cacheField name="Kitchen Manager" numFmtId="0">
      <sharedItems containsBlank="1"/>
    </cacheField>
    <cacheField name="Address" numFmtId="0">
      <sharedItems/>
    </cacheField>
    <cacheField name="City" numFmtId="0">
      <sharedItems/>
    </cacheField>
    <cacheField name="State" numFmtId="0">
      <sharedItems/>
    </cacheField>
    <cacheField name="County" numFmtId="0">
      <sharedItems containsBlank="1"/>
    </cacheField>
    <cacheField name="Zip" numFmtId="0">
      <sharedItems containsString="0" containsBlank="1" containsNumber="1" containsInteger="1" minValue="29406" maxValue="31548"/>
    </cacheField>
    <cacheField name="Phone" numFmtId="164">
      <sharedItems containsBlank="1"/>
    </cacheField>
    <cacheField name="Fax" numFmtId="0">
      <sharedItems containsBlank="1"/>
    </cacheField>
    <cacheField name="Opened" numFmtId="14">
      <sharedItems containsSemiMixedTypes="0" containsNonDate="0" containsDate="1" containsString="0" minDate="1976-01-01T00:00:00" maxDate="2026-04-02T00:00:00" count="110">
        <d v="1976-01-01T00:00:00"/>
        <d v="1988-09-08T00:00:00"/>
        <d v="1992-07-30T00:00:00"/>
        <d v="1996-05-01T00:00:00"/>
        <d v="1997-03-07T00:00:00"/>
        <d v="1997-12-26T00:00:00"/>
        <d v="1999-01-01T00:00:00"/>
        <d v="1999-02-08T00:00:00"/>
        <d v="1999-12-01T00:00:00"/>
        <d v="2000-01-01T00:00:00"/>
        <d v="2001-10-03T00:00:00"/>
        <d v="2002-08-15T00:00:00"/>
        <d v="2003-04-29T00:00:00"/>
        <d v="2005-12-27T00:00:00"/>
        <d v="2006-12-29T00:00:00"/>
        <d v="2007-02-28T00:00:00"/>
        <d v="2008-10-31T00:00:00"/>
        <d v="2008-12-24T00:00:00"/>
        <d v="2010-11-05T00:00:00"/>
        <d v="2011-01-01T00:00:00"/>
        <d v="2011-03-28T00:00:00"/>
        <d v="2011-11-14T00:00:00"/>
        <d v="2011-12-22T00:00:00"/>
        <d v="2012-02-09T00:00:00"/>
        <d v="2012-10-19T00:00:00"/>
        <d v="2012-12-21T00:00:00"/>
        <d v="2013-07-18T00:00:00"/>
        <d v="2013-08-02T00:00:00"/>
        <d v="2013-10-03T00:00:00"/>
        <d v="2013-11-15T00:00:00"/>
        <d v="2013-11-22T00:00:00"/>
        <d v="2014-01-31T00:00:00"/>
        <d v="2014-06-19T00:00:00"/>
        <d v="2014-06-25T00:00:00"/>
        <d v="2015-03-30T00:00:00"/>
        <d v="2015-08-21T00:00:00"/>
        <d v="2015-12-04T00:00:00"/>
        <d v="2015-12-10T00:00:00"/>
        <d v="2015-12-23T00:00:00"/>
        <d v="2016-01-29T00:00:00"/>
        <d v="2016-02-11T00:00:00"/>
        <d v="2016-03-14T00:00:00"/>
        <d v="2016-07-21T00:00:00"/>
        <d v="2016-09-23T00:00:00"/>
        <d v="2016-10-11T00:00:00"/>
        <d v="2017-02-03T00:00:00"/>
        <d v="2017-02-10T00:00:00"/>
        <d v="2017-05-12T00:00:00"/>
        <d v="2017-11-03T00:00:00"/>
        <d v="2017-11-10T00:00:00"/>
        <d v="2018-04-20T00:00:00"/>
        <d v="2018-05-01T00:00:00"/>
        <d v="2018-09-20T00:00:00"/>
        <d v="2019-03-25T00:00:00"/>
        <d v="2019-05-02T00:00:00"/>
        <d v="2019-06-29T00:00:00"/>
        <d v="2019-08-28T00:00:00"/>
        <d v="2019-09-10T00:00:00"/>
        <d v="2019-10-01T00:00:00"/>
        <d v="2019-10-11T00:00:00"/>
        <d v="2019-10-25T00:00:00"/>
        <d v="2019-11-07T00:00:00"/>
        <d v="2020-04-16T00:00:00"/>
        <d v="2020-04-30T00:00:00"/>
        <d v="2020-08-20T00:00:00"/>
        <d v="2020-10-15T00:00:00"/>
        <d v="2021-02-18T00:00:00"/>
        <d v="2021-03-24T00:00:00"/>
        <d v="2021-09-02T00:00:00"/>
        <d v="2022-01-28T00:00:00"/>
        <d v="2022-11-04T00:00:00"/>
        <d v="2022-12-02T00:00:00"/>
        <d v="2022-12-15T00:00:00"/>
        <d v="2022-12-28T00:00:00"/>
        <d v="2023-03-22T00:00:00"/>
        <d v="2023-05-01T00:00:00"/>
        <d v="2023-05-17T00:00:00"/>
        <d v="2023-10-04T00:00:00"/>
        <d v="2023-12-06T00:00:00"/>
        <d v="2023-12-20T00:00:00"/>
        <d v="2024-03-13T00:00:00"/>
        <d v="2024-03-15T00:00:00"/>
        <d v="2024-03-20T00:00:00"/>
        <d v="2024-03-27T00:00:00"/>
        <d v="2024-05-01T00:00:00"/>
        <d v="2024-05-08T00:00:00"/>
        <d v="2024-05-23T00:00:00"/>
        <d v="2024-05-24T00:00:00"/>
        <d v="2024-06-12T00:00:00"/>
        <d v="2024-08-07T00:00:00"/>
        <d v="2024-08-09T00:00:00"/>
        <d v="2024-09-25T00:00:00"/>
        <d v="2024-11-26T00:00:00"/>
        <d v="2024-11-27T00:00:00"/>
        <d v="2024-12-11T00:00:00"/>
        <d v="2024-12-18T00:00:00"/>
        <d v="2025-01-29T00:00:00"/>
        <d v="2025-02-19T00:00:00"/>
        <d v="2025-03-12T00:00:00"/>
        <d v="2025-04-09T00:00:00"/>
        <d v="2025-07-02T00:00:00"/>
        <d v="2025-07-03T00:00:00"/>
        <d v="2025-07-09T00:00:00"/>
        <d v="2025-09-30T00:00:00"/>
        <d v="2025-10-01T00:00:00"/>
        <d v="2025-12-17T00:00:00"/>
        <d v="2025-12-24T00:00:00"/>
        <d v="2025-12-31T00:00:00"/>
        <d v="2026-04-01T00:00:00"/>
        <d v="2026-01-07T00:00:00" u="1"/>
      </sharedItems>
      <fieldGroup par="19"/>
    </cacheField>
    <cacheField name="Comp Store" numFmtId="0">
      <sharedItems/>
    </cacheField>
    <cacheField name="Bottler" numFmtId="0">
      <sharedItems count="2">
        <s v="United"/>
        <s v="Consolidated"/>
      </sharedItems>
    </cacheField>
    <cacheField name="Same Store Sales" numFmtId="0">
      <sharedItems/>
    </cacheField>
    <cacheField name="Months (Opened)" numFmtId="0" databaseField="0">
      <fieldGroup base="13">
        <rangePr groupBy="months" startDate="1976-01-01T00:00:00" endDate="2026-04-02T00:00:00"/>
        <groupItems count="14">
          <s v="&lt;1/1/197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26"/>
        </groupItems>
      </fieldGroup>
    </cacheField>
    <cacheField name="Quarters (Opened)" numFmtId="0" databaseField="0">
      <fieldGroup base="13">
        <rangePr groupBy="quarters" startDate="1976-01-01T00:00:00" endDate="2026-04-02T00:00:00"/>
        <groupItems count="6">
          <s v="&lt;1/1/1976"/>
          <s v="Qtr1"/>
          <s v="Qtr2"/>
          <s v="Qtr3"/>
          <s v="Qtr4"/>
          <s v="&gt;4/2/2026"/>
        </groupItems>
      </fieldGroup>
    </cacheField>
    <cacheField name="Years (Opened)" numFmtId="0" databaseField="0">
      <fieldGroup base="13">
        <rangePr groupBy="years" startDate="1976-01-01T00:00:00" endDate="2026-04-02T00:00:00"/>
        <groupItems count="53">
          <s v="&lt;1/1/1976"/>
          <s v="1976"/>
          <s v="1977"/>
          <s v="1978"/>
          <s v="1979"/>
          <s v="1980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4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REG1"/>
    <s v="DISTA"/>
    <x v="0"/>
    <s v="Yolima John"/>
    <m/>
    <m/>
    <s v="13740 Oglethorpe Hwy."/>
    <s v="Midway"/>
    <s v="GA"/>
    <s v="Liberty"/>
    <n v="31320"/>
    <s v="912-884-5665"/>
    <s v="912-884-2036"/>
    <x v="0"/>
    <s v="&gt;365 Days"/>
    <x v="0"/>
    <s v="Same Store Sales"/>
  </r>
  <r>
    <s v="REG1"/>
    <s v="DISTC"/>
    <x v="1"/>
    <s v="Naketra Grovener"/>
    <s v="Yes"/>
    <m/>
    <s v="7530 Highway 17"/>
    <s v="Richmond Hill"/>
    <s v="GA"/>
    <s v="Bryan"/>
    <n v="31324"/>
    <s v="912-756-5137"/>
    <s v="912-756-4095"/>
    <x v="1"/>
    <s v="&gt;365 Days"/>
    <x v="0"/>
    <s v="Same Store Sales"/>
  </r>
  <r>
    <s v="REG1"/>
    <s v="DISTD"/>
    <x v="2"/>
    <s v="Ebony Lewis"/>
    <s v="Yes"/>
    <s v="Ron Canales"/>
    <s v="2004 Beech St."/>
    <s v="Savannah"/>
    <s v="GA"/>
    <s v="Chatham"/>
    <n v="31404"/>
    <s v="912-236-5774"/>
    <s v="912-236-3165"/>
    <x v="2"/>
    <s v="&gt;365 Days"/>
    <x v="0"/>
    <s v="Same Store Sales"/>
  </r>
  <r>
    <s v="REG1"/>
    <s v="DISTE"/>
    <x v="3"/>
    <s v="Damian Williams"/>
    <s v="Yes"/>
    <s v="Chance Taylor"/>
    <s v="6000 Highway 21"/>
    <s v="Port Wentworth"/>
    <s v="GA"/>
    <s v="Chatham"/>
    <n v="31407"/>
    <s v="912-963-0070"/>
    <s v="912-963-1103"/>
    <x v="3"/>
    <s v="&gt;365 Days"/>
    <x v="0"/>
    <s v="Same Store Sales"/>
  </r>
  <r>
    <s v="REG1"/>
    <s v="DISTA"/>
    <x v="4"/>
    <s v="Harriet Williams"/>
    <s v="Yes"/>
    <s v="Sandra Kaufmann"/>
    <s v="2475 Hwy 196 West"/>
    <s v="Hinesville"/>
    <s v="GA"/>
    <s v="Liberty"/>
    <n v="31313"/>
    <s v="912-369-7771"/>
    <s v="912-369-7772"/>
    <x v="4"/>
    <s v="&gt;365 Days"/>
    <x v="0"/>
    <s v="Same Store Sales"/>
  </r>
  <r>
    <s v="REG1"/>
    <s v="DISTG"/>
    <x v="5"/>
    <s v="Monquasha Hayton"/>
    <s v="Yes"/>
    <s v="Debbie Biederer"/>
    <s v="141 Lanier Dr"/>
    <s v="Statesboro"/>
    <s v="GA"/>
    <s v="Bulloch"/>
    <n v="30458"/>
    <s v="912-681-7007"/>
    <s v="912-681-8826"/>
    <x v="5"/>
    <s v="&gt;365 Days"/>
    <x v="0"/>
    <s v="Same Store Sales"/>
  </r>
  <r>
    <s v="REG1"/>
    <s v="DISTA"/>
    <x v="6"/>
    <s v="Monique Graves"/>
    <s v="Yes"/>
    <s v="Victoria Johnson"/>
    <s v="4 West Cypress Street"/>
    <s v="Ludowici"/>
    <s v="GA"/>
    <s v="Long"/>
    <n v="31316"/>
    <s v="912-433-1765"/>
    <s v="912-433-1765"/>
    <x v="6"/>
    <s v="&gt;365 Days"/>
    <x v="0"/>
    <s v="Same Store Sales"/>
  </r>
  <r>
    <s v="REG1"/>
    <s v="REG1"/>
    <x v="7"/>
    <s v="Nicole Williams"/>
    <s v="Yes"/>
    <s v="Justin Wallace"/>
    <s v="222 Drayton St."/>
    <s v="Savannah"/>
    <s v="GA"/>
    <s v="Chatham"/>
    <n v="31401"/>
    <s v="912-233-1000"/>
    <s v="912-234-8121"/>
    <x v="7"/>
    <s v="&gt;365 Days"/>
    <x v="0"/>
    <s v="Same Store Sales"/>
  </r>
  <r>
    <s v="REG1"/>
    <s v="DISTD"/>
    <x v="8"/>
    <s v="Shakieta McBride"/>
    <m/>
    <m/>
    <s v="1976 E. Victory Dr."/>
    <s v="Savannah"/>
    <s v="GA"/>
    <s v="Chatham"/>
    <n v="31404"/>
    <s v="912-233-8898"/>
    <s v="912-233-8893"/>
    <x v="8"/>
    <s v="&gt;365 Days"/>
    <x v="0"/>
    <s v="Same Store Sales"/>
  </r>
  <r>
    <s v="REG1"/>
    <s v="DISTD"/>
    <x v="9"/>
    <s v="Leslie Tremble "/>
    <m/>
    <m/>
    <s v="325 ML King, Jr. Blvd."/>
    <s v="Savannah"/>
    <s v="GA"/>
    <s v="Chatham"/>
    <n v="31401"/>
    <s v="912-447-0023"/>
    <s v="912-447-0380"/>
    <x v="9"/>
    <s v="&gt;365 Days"/>
    <x v="0"/>
    <s v="Same Store Sales"/>
  </r>
  <r>
    <s v="REG1"/>
    <s v="DISTD"/>
    <x v="10"/>
    <s v="Lynett Taylor"/>
    <m/>
    <m/>
    <s v="3105 E. Victory Dr."/>
    <s v="Thunderbolt"/>
    <s v="GA"/>
    <s v="Chatham"/>
    <n v="31404"/>
    <s v="912-721-2080"/>
    <s v="912-401-0755"/>
    <x v="10"/>
    <s v="&gt;365 Days"/>
    <x v="0"/>
    <s v="Same Store Sales"/>
  </r>
  <r>
    <s v="REG1"/>
    <s v="DISTC"/>
    <x v="11"/>
    <s v="April Fugghett"/>
    <s v="Yes"/>
    <m/>
    <s v="11416 Ford Ave."/>
    <s v="Richmond Hill"/>
    <s v="GA"/>
    <s v="Bryan"/>
    <n v="31324"/>
    <s v="912-756-6723"/>
    <s v="912-756-6724"/>
    <x v="11"/>
    <s v="&gt;365 Days"/>
    <x v="0"/>
    <s v="Same Store Sales"/>
  </r>
  <r>
    <s v="REG1"/>
    <s v="DISTD"/>
    <x v="12"/>
    <s v="Laketta Cross"/>
    <m/>
    <m/>
    <s v="1910 E. President St."/>
    <s v="Savannah"/>
    <s v="GA"/>
    <s v="Chatham"/>
    <n v="31404"/>
    <s v="912-232-5602"/>
    <s v="912-232-5614"/>
    <x v="12"/>
    <s v="&gt;365 Days"/>
    <x v="0"/>
    <s v="Same Store Sales"/>
  </r>
  <r>
    <s v="REG1"/>
    <s v="DISTA"/>
    <x v="13"/>
    <s v="Crystal Johnson"/>
    <m/>
    <m/>
    <s v="58 Old Sunbury Rd."/>
    <s v="Hinesville"/>
    <s v="GA"/>
    <s v="Liberty"/>
    <n v="31313"/>
    <s v="912-876-5015"/>
    <s v="912-876-5021"/>
    <x v="13"/>
    <s v="&gt;365 Days"/>
    <x v="0"/>
    <s v="Same Store Sales"/>
  </r>
  <r>
    <s v="REG1"/>
    <s v="DISTD"/>
    <x v="14"/>
    <s v="Aleesa Hodges"/>
    <s v="Yes"/>
    <s v="Joe Stringfellow "/>
    <s v="10525 Abercorn Street"/>
    <s v="Savannah"/>
    <s v="GA"/>
    <s v="Chatham"/>
    <n v="31419"/>
    <s v="912-921-1899"/>
    <s v="912-401-0076"/>
    <x v="14"/>
    <s v="&gt;365 Days"/>
    <x v="0"/>
    <s v="Same Store Sales"/>
  </r>
  <r>
    <s v="REG1"/>
    <s v="DISTF"/>
    <x v="15"/>
    <s v="Jessica Fox"/>
    <s v="Yes"/>
    <m/>
    <s v="100 Central Blvd."/>
    <s v="Guyton"/>
    <s v="GA"/>
    <s v="Effingham"/>
    <n v="31312"/>
    <s v="912-955-8026"/>
    <s v="912-772-9094"/>
    <x v="15"/>
    <s v="&gt;365 Days"/>
    <x v="0"/>
    <s v="Same Store Sales"/>
  </r>
  <r>
    <s v="REG1"/>
    <s v="DISTF"/>
    <x v="16"/>
    <s v="Robert Compton"/>
    <s v="Yes"/>
    <s v="Joseph Carson"/>
    <s v="4480 Highway 80"/>
    <s v="Ellabell"/>
    <s v="GA"/>
    <s v="Effingham"/>
    <n v="31308"/>
    <s v="912-721-7549"/>
    <s v="912-858-0032"/>
    <x v="16"/>
    <s v="&gt;365 Days"/>
    <x v="0"/>
    <s v="Same Store Sales"/>
  </r>
  <r>
    <s v="REG2"/>
    <s v="DISTH"/>
    <x v="17"/>
    <s v="Brandon White"/>
    <s v="Yes"/>
    <s v="Audrey Johnson"/>
    <s v="9227 Evan Way"/>
    <s v="Bluffton"/>
    <s v="SC"/>
    <s v="Beaufort"/>
    <n v="29910"/>
    <s v="843-706-6132"/>
    <s v="843-706-6136"/>
    <x v="17"/>
    <s v="&gt;365 Days"/>
    <x v="1"/>
    <s v="Same Store Sales"/>
  </r>
  <r>
    <s v="REG2"/>
    <s v="DISTH"/>
    <x v="18"/>
    <s v="Carly Bennett"/>
    <s v="Yes"/>
    <m/>
    <s v="469 Buckwalter Parkway"/>
    <s v="Bluffton"/>
    <s v="SC"/>
    <s v="Beaufort"/>
    <n v="29910"/>
    <s v="843-706-5633"/>
    <s v="843-706-3090"/>
    <x v="18"/>
    <s v="&gt;365 Days"/>
    <x v="1"/>
    <s v="Same Store Sales"/>
  </r>
  <r>
    <s v="REG1"/>
    <s v="DISTF"/>
    <x v="19"/>
    <s v="Ronitta Robinson"/>
    <s v="Yes"/>
    <m/>
    <s v="1435 Highway 21 South"/>
    <s v="Springfield"/>
    <s v="GA"/>
    <s v="Effingham"/>
    <n v="31329"/>
    <s v="912-754-3434"/>
    <s v="912-754-3435"/>
    <x v="19"/>
    <s v="&gt;365 Days"/>
    <x v="0"/>
    <s v="Same Store Sales"/>
  </r>
  <r>
    <s v="REG1"/>
    <s v="DISTD"/>
    <x v="20"/>
    <s v="Shanicka Stephens"/>
    <s v="Yes"/>
    <m/>
    <s v="5300 Skidaway Rd."/>
    <s v="Savannah"/>
    <s v="GA"/>
    <s v="Chatham"/>
    <n v="31404"/>
    <s v="912-354-7273"/>
    <s v="912-354-7280"/>
    <x v="20"/>
    <s v="&gt;365 Days"/>
    <x v="0"/>
    <s v="Same Store Sales"/>
  </r>
  <r>
    <s v="REG2"/>
    <s v="DISTI"/>
    <x v="21"/>
    <m/>
    <s v="Yes"/>
    <m/>
    <s v="2 Gateway Village Road"/>
    <s v="Bluffton"/>
    <s v="SC"/>
    <s v="Beaufort"/>
    <n v="29910"/>
    <s v="843-706-3339"/>
    <s v="843-706-3307"/>
    <x v="21"/>
    <s v="&gt;365 Days"/>
    <x v="1"/>
    <s v="Same Store Sales"/>
  </r>
  <r>
    <s v="REG1"/>
    <s v="DISTE"/>
    <x v="22"/>
    <s v="Daniel Williams "/>
    <s v="Yes"/>
    <m/>
    <s v="10 Godley Station Blvd."/>
    <s v="Pooler"/>
    <s v="GA"/>
    <s v="Chatham"/>
    <n v="31322"/>
    <s v="912-748-8600"/>
    <s v="912-748-6648"/>
    <x v="22"/>
    <s v="&gt;365 Days"/>
    <x v="0"/>
    <s v="Same Store Sales"/>
  </r>
  <r>
    <s v="REG2"/>
    <s v="DISTI"/>
    <x v="23"/>
    <s v="LaTisha Dudley"/>
    <s v="Yes"/>
    <m/>
    <s v="1286 Fording Island Road"/>
    <s v="Bluffton"/>
    <s v="SC"/>
    <s v="Beaufort"/>
    <n v="29910"/>
    <s v="843-706-2138"/>
    <s v="843-706-2137"/>
    <x v="23"/>
    <s v="&gt;365 Days"/>
    <x v="1"/>
    <s v="Same Store Sales"/>
  </r>
  <r>
    <s v="REG1"/>
    <s v="DISTE"/>
    <x v="24"/>
    <s v="Angela Pointer"/>
    <s v="Yes"/>
    <s v="Lashanna McKiver-David"/>
    <s v="4219 Augusta Road"/>
    <s v="Garden City "/>
    <s v="GA"/>
    <s v="Chatham"/>
    <n v="31408"/>
    <s v="912-966-2684"/>
    <s v="912-966-2685"/>
    <x v="24"/>
    <s v="&gt;365 Days"/>
    <x v="0"/>
    <s v="Same Store Sales"/>
  </r>
  <r>
    <s v="REG1"/>
    <s v="DISTF"/>
    <x v="25"/>
    <s v="June Steinmetz"/>
    <s v="Yes"/>
    <s v="Yolanda Bailey"/>
    <s v="6159 Highway 21 S"/>
    <s v="Rincon"/>
    <s v="GA"/>
    <s v="Effingham"/>
    <n v="31326"/>
    <s v="912-826-2225"/>
    <s v="912-826-2230"/>
    <x v="25"/>
    <s v="&gt;365 Days"/>
    <x v="0"/>
    <s v="Same Store Sales"/>
  </r>
  <r>
    <s v="REG1"/>
    <s v="DISTG"/>
    <x v="26"/>
    <s v="Monquasha Hayton"/>
    <m/>
    <m/>
    <s v="24151 Highway 80 E."/>
    <s v="Statesboro"/>
    <s v="GA"/>
    <s v="Bulloch"/>
    <n v="30458"/>
    <s v="912-212-2088"/>
    <s v="912-212-2089"/>
    <x v="26"/>
    <s v="&gt;365 Days"/>
    <x v="0"/>
    <s v="Same Store Sales"/>
  </r>
  <r>
    <s v="REG1"/>
    <s v="DISTF"/>
    <x v="27"/>
    <s v="Tracy Dahl"/>
    <s v="No"/>
    <m/>
    <s v="3050 Highway 80"/>
    <s v="Bloomingdale"/>
    <s v="GA"/>
    <s v="Chatham"/>
    <n v="31302"/>
    <s v="912-988-7365"/>
    <s v="912-988-7369"/>
    <x v="27"/>
    <s v="&gt;365 Days"/>
    <x v="0"/>
    <s v="Same Store Sales"/>
  </r>
  <r>
    <s v="REG1"/>
    <s v="DISTG"/>
    <x v="28"/>
    <s v="Ro Curtis"/>
    <s v="Yes"/>
    <m/>
    <s v="11012 Hwy 301 S"/>
    <s v="Statesboro"/>
    <s v="GA"/>
    <s v="Bulloch"/>
    <n v="30458"/>
    <s v="912-489-0045"/>
    <s v="912-489-4501"/>
    <x v="28"/>
    <s v="&gt;365 Days"/>
    <x v="0"/>
    <s v="Same Store Sales"/>
  </r>
  <r>
    <s v="REG2"/>
    <s v="DISTI"/>
    <x v="29"/>
    <s v="Mindy Wertheim"/>
    <s v="Yes"/>
    <s v="Rich Oresic"/>
    <s v="6200 Jennifer Ct."/>
    <s v="Bluffton"/>
    <s v="SC"/>
    <s v="Beaufort"/>
    <n v="29910"/>
    <s v="843-757-0575"/>
    <s v="843-757-0570"/>
    <x v="29"/>
    <s v="&gt;365 Days"/>
    <x v="1"/>
    <s v="Same Store Sales"/>
  </r>
  <r>
    <s v="REG1"/>
    <s v="DISTB"/>
    <x v="30"/>
    <s v="Carol Jacobs"/>
    <s v="Yes"/>
    <s v="Ryan Roe"/>
    <s v="300 SW Broad St."/>
    <s v="Metter"/>
    <s v="GA"/>
    <s v="Candler"/>
    <n v="30439"/>
    <s v="912-856-2007"/>
    <m/>
    <x v="30"/>
    <s v="&gt;365 Days"/>
    <x v="0"/>
    <s v="Same Store Sales"/>
  </r>
  <r>
    <s v="REG1"/>
    <s v="DISTB"/>
    <x v="31"/>
    <s v="Kellie Blaxton"/>
    <s v="Yes"/>
    <s v="Kristen (Monkey) Martin"/>
    <s v="113 Oxley Dr."/>
    <s v="Lyons"/>
    <s v="GA"/>
    <s v="Toombs"/>
    <n v="30436"/>
    <s v="912-526-6090"/>
    <s v="912-526-6091"/>
    <x v="31"/>
    <s v="&gt;365 Days"/>
    <x v="0"/>
    <s v="Same Store Sales"/>
  </r>
  <r>
    <s v="REG2"/>
    <s v="DISTJ"/>
    <x v="32"/>
    <s v="Earline Hoch"/>
    <m/>
    <m/>
    <s v="1705 Ribaut Rd."/>
    <s v="Port Royal"/>
    <s v="SC"/>
    <s v="Beaufort"/>
    <n v="29935"/>
    <s v="843-379-4848"/>
    <s v="843-379-4880"/>
    <x v="32"/>
    <s v="&gt;365 Days"/>
    <x v="1"/>
    <s v="Same Store Sales"/>
  </r>
  <r>
    <s v="REG1"/>
    <s v="DISTG"/>
    <x v="33"/>
    <s v="Renoda Hendrix (SLIT)"/>
    <s v="Yes"/>
    <s v="Cynthia Alston"/>
    <s v="1588 Brampton Ave."/>
    <s v="Statesboro"/>
    <s v="GA"/>
    <s v="Bulloch"/>
    <n v="30458"/>
    <s v="912-871-7063"/>
    <s v="912-681-1525"/>
    <x v="33"/>
    <s v="&gt;365 Days"/>
    <x v="0"/>
    <s v="Same Store Sales"/>
  </r>
  <r>
    <s v="REG1"/>
    <s v="DISTB"/>
    <x v="34"/>
    <s v="Keshia Parrish"/>
    <m/>
    <m/>
    <s v="1118 S. Lewis St."/>
    <s v="Metter"/>
    <s v="GA"/>
    <s v="Candler"/>
    <n v="30439"/>
    <s v="912-623-4463"/>
    <s v="912-685-5877"/>
    <x v="34"/>
    <s v="&gt;365 Days"/>
    <x v="0"/>
    <s v="Same Store Sales"/>
  </r>
  <r>
    <s v="REG1"/>
    <s v="DISTB"/>
    <x v="35"/>
    <s v="Jade Murphy "/>
    <s v="Yes"/>
    <m/>
    <s v="105 Queen Street"/>
    <s v="Vidalia"/>
    <s v="GA"/>
    <s v="Toombs"/>
    <n v="30474"/>
    <s v="912-403-6972"/>
    <s v="912-403-3362"/>
    <x v="35"/>
    <s v="&gt;365 Days"/>
    <x v="0"/>
    <s v="Same Store Sales"/>
  </r>
  <r>
    <s v="REG2"/>
    <s v="DISTH"/>
    <x v="36"/>
    <s v="Lakeeshia Bennett"/>
    <s v="Yes"/>
    <s v="Tyneisha Hankins"/>
    <s v="16319 Whyte Hardee Blvd"/>
    <s v="Hardeeville"/>
    <s v="SC"/>
    <s v="Jasper"/>
    <n v="29927"/>
    <s v="843-305-7690"/>
    <s v="912-298-1207"/>
    <x v="36"/>
    <s v="&gt;365 Days"/>
    <x v="1"/>
    <s v="Same Store Sales"/>
  </r>
  <r>
    <s v="REG2"/>
    <s v="DISTH"/>
    <x v="37"/>
    <s v=" Abbigail Rivers"/>
    <m/>
    <m/>
    <s v="8251 Pinellas Drive"/>
    <s v="Bluffton"/>
    <s v="SC"/>
    <s v="Beaufort"/>
    <n v="29910"/>
    <s v="843-547-2626"/>
    <s v="912-298-1208"/>
    <x v="37"/>
    <s v="&gt;365 Days"/>
    <x v="1"/>
    <s v="Same Store Sales"/>
  </r>
  <r>
    <s v="REG2"/>
    <s v="DISTI"/>
    <x v="38"/>
    <s v="Rebecca Flick"/>
    <s v="Yes"/>
    <s v="Lillian Carter"/>
    <s v="165 William Hilton Pkwy"/>
    <s v="Hilton Head Island"/>
    <s v="SC"/>
    <s v="Beaufort"/>
    <n v="29926"/>
    <s v="843-940-8487"/>
    <s v="912-298-1206"/>
    <x v="38"/>
    <s v="&gt;365 Days"/>
    <x v="1"/>
    <s v="Same Store Sales"/>
  </r>
  <r>
    <s v="REG1"/>
    <s v="DISTG"/>
    <x v="39"/>
    <s v="Mary Mills"/>
    <m/>
    <m/>
    <s v="12399 US 301"/>
    <s v="Statesboro"/>
    <s v="GA"/>
    <s v="Bulloch"/>
    <n v="30458"/>
    <s v="912-225-1993"/>
    <s v="912-298-1209"/>
    <x v="39"/>
    <s v="&gt;365 Days"/>
    <x v="0"/>
    <s v="Same Store Sales"/>
  </r>
  <r>
    <s v="REG1"/>
    <s v="DISTB"/>
    <x v="40"/>
    <s v="Nicole Parrish-Kirkland"/>
    <s v="Yes"/>
    <s v="Leroge Jackson"/>
    <s v="3 N. Duval Street"/>
    <s v="Claxton"/>
    <s v="GA"/>
    <s v="Evans"/>
    <n v="30417"/>
    <s v="912-739-2439"/>
    <s v="912-298-1205"/>
    <x v="40"/>
    <s v="&gt;365 Days"/>
    <x v="0"/>
    <s v="Same Store Sales"/>
  </r>
  <r>
    <s v="REG2"/>
    <s v="DISTH"/>
    <x v="41"/>
    <s v="Marcus Ryans"/>
    <s v="Yes"/>
    <s v="Renee Altman"/>
    <s v="7021 North Okatie Hwy"/>
    <s v="Ridgeland"/>
    <s v="SC"/>
    <s v="Beaufort"/>
    <n v="29936"/>
    <s v="843-305-7955"/>
    <s v="912-298-1210"/>
    <x v="41"/>
    <s v="&gt;365 Days"/>
    <x v="1"/>
    <s v="Same Store Sales"/>
  </r>
  <r>
    <s v="REG2"/>
    <s v="DISTJ"/>
    <x v="42"/>
    <s v="Kaylie Nelson"/>
    <s v="Yes"/>
    <s v="Jessa Byrd"/>
    <s v="12 Savannah Hwy"/>
    <s v="Beaufort"/>
    <s v="SC"/>
    <s v="Beaufort"/>
    <n v="29906"/>
    <s v="843-305-7732"/>
    <s v="843-473-4469"/>
    <x v="42"/>
    <s v="&gt;365 Days"/>
    <x v="1"/>
    <s v="Same Store Sales"/>
  </r>
  <r>
    <s v="REG2"/>
    <s v="DISTJ"/>
    <x v="43"/>
    <s v="Kiarra Smalls"/>
    <s v="Yes"/>
    <s v="Toya Livingston"/>
    <s v="3462 Trask Pkwy"/>
    <s v="Beaufort"/>
    <s v="SC"/>
    <s v="Beaufort"/>
    <n v="29906"/>
    <s v="843-940-7800"/>
    <s v="843-940-7801"/>
    <x v="43"/>
    <s v="&gt;365 Days"/>
    <x v="1"/>
    <s v="Same Store Sales"/>
  </r>
  <r>
    <s v="REG1"/>
    <s v="DISTA"/>
    <x v="44"/>
    <s v="Latasha Roberson"/>
    <s v="Yes"/>
    <s v="Bridgett Opuni"/>
    <s v="5890 W. Oglethorpe Hwy"/>
    <s v="Hinesville"/>
    <s v="GA"/>
    <s v="Liberty"/>
    <n v="31313"/>
    <s v="912-662-8201"/>
    <s v="912-662-8212"/>
    <x v="44"/>
    <s v="&gt;365 Days"/>
    <x v="0"/>
    <s v="Same Store Sales"/>
  </r>
  <r>
    <s v="REG1"/>
    <s v="DISTE"/>
    <x v="45"/>
    <s v="Jasmine Robinson"/>
    <s v="Yes"/>
    <s v="Louis Davis"/>
    <s v="2175 Benton Blvd"/>
    <s v="Savannah"/>
    <s v="GA"/>
    <s v="Chatham"/>
    <n v="31407"/>
    <s v="912-349-0091"/>
    <s v="912-712-3723"/>
    <x v="45"/>
    <s v="&gt;365 Days"/>
    <x v="0"/>
    <s v="Same Store Sales"/>
  </r>
  <r>
    <s v="REG2"/>
    <s v="DISTH"/>
    <x v="46"/>
    <s v="Dawn Adams"/>
    <s v="Yes"/>
    <s v="Sonya Betties"/>
    <s v="6 Barrel Landing Road"/>
    <s v="Okatie"/>
    <s v="SC"/>
    <s v="Beaufort"/>
    <n v="29909"/>
    <s v="843-706-9616"/>
    <m/>
    <x v="46"/>
    <s v="&gt;365 Days"/>
    <x v="1"/>
    <s v="Same Store Sales"/>
  </r>
  <r>
    <s v="REG1"/>
    <s v="DISTA"/>
    <x v="47"/>
    <s v="Samwel Choroke"/>
    <s v="Yes"/>
    <m/>
    <s v="4501 Savannah Hwy"/>
    <s v="Jesup"/>
    <s v="GA"/>
    <s v="Wayne"/>
    <n v="31545"/>
    <s v="912-427-8210"/>
    <s v="912-427-8197"/>
    <x v="47"/>
    <s v="&gt;365 Days"/>
    <x v="0"/>
    <s v="Same Store Sales"/>
  </r>
  <r>
    <s v="REG1"/>
    <s v="DISTE"/>
    <x v="48"/>
    <s v="Derick Walton (DLIT)"/>
    <s v="Yes"/>
    <s v="Michelle Harmon"/>
    <s v="1601 Dean Forest Road"/>
    <s v="Pooler"/>
    <s v="GA"/>
    <s v="Chatham"/>
    <n v="31322"/>
    <s v="912-966-1686"/>
    <s v="912-966-1687"/>
    <x v="48"/>
    <s v="&gt;365 Days"/>
    <x v="0"/>
    <s v="Same Store Sales"/>
  </r>
  <r>
    <s v="REG1"/>
    <s v="DISTB"/>
    <x v="49"/>
    <s v="Angel Hilton"/>
    <s v="Yes"/>
    <s v="Turk Battle"/>
    <s v="110 N. Veterans Blvd"/>
    <s v="Glennville"/>
    <s v="GA"/>
    <s v="Tattnall"/>
    <n v="30427"/>
    <s v="912-721-7213"/>
    <m/>
    <x v="49"/>
    <s v="&gt;365 Days"/>
    <x v="0"/>
    <s v="Same Store Sales"/>
  </r>
  <r>
    <s v="REG2"/>
    <s v="DISTJ"/>
    <x v="50"/>
    <s v="Paige Sargent"/>
    <s v="Yes"/>
    <s v="Sabrina Lancaster"/>
    <s v="133 Sam's Point Rd"/>
    <s v="Beaufort"/>
    <s v="SC"/>
    <s v="Beaufort"/>
    <n v="29907"/>
    <s v="843-524-0612"/>
    <s v="843-524-0585"/>
    <x v="50"/>
    <s v="&gt;365 Days"/>
    <x v="1"/>
    <s v="Same Store Sales"/>
  </r>
  <r>
    <s v="REG2"/>
    <s v="DISTJ"/>
    <x v="51"/>
    <s v="David Ford"/>
    <s v="Yes"/>
    <s v="Kandis Watson"/>
    <s v="856 Sea Island Pkwy"/>
    <s v="St Helena"/>
    <s v="SC"/>
    <s v="Beaufort"/>
    <n v="29920"/>
    <s v="843-838-1911"/>
    <s v="843-838-1882"/>
    <x v="51"/>
    <s v="&gt;365 Days"/>
    <x v="1"/>
    <s v="Same Store Sales"/>
  </r>
  <r>
    <s v="REG1"/>
    <s v="DISTC"/>
    <x v="52"/>
    <s v="Amber Turner"/>
    <s v="Yes"/>
    <m/>
    <s v="2111 Pooler Parkway"/>
    <s v="Pooler"/>
    <s v="GA"/>
    <s v="Chatham"/>
    <n v="31322"/>
    <s v="912-800-1621"/>
    <s v="912-800-1803"/>
    <x v="52"/>
    <s v="&gt;365 Days"/>
    <x v="0"/>
    <s v="Same Store Sales"/>
  </r>
  <r>
    <s v="REG2"/>
    <s v="DISTJ"/>
    <x v="53"/>
    <m/>
    <m/>
    <m/>
    <s v="1451 Ribaut Rd"/>
    <s v="Port Royal"/>
    <s v="SC"/>
    <s v="Beaufort"/>
    <n v="29935"/>
    <s v="843-379-3636"/>
    <s v="843-379-3638"/>
    <x v="53"/>
    <s v="&gt;365 Days"/>
    <x v="1"/>
    <s v="Same Store Sales"/>
  </r>
  <r>
    <s v="REG1"/>
    <s v="DISTE"/>
    <x v="54"/>
    <s v="Nicolle Gradzki"/>
    <s v="Yes"/>
    <s v="Will Alderman"/>
    <s v="1275 E Hwy 80"/>
    <s v="Pooler"/>
    <s v="GA"/>
    <s v="Chatham"/>
    <n v="31322"/>
    <s v="912-450-0069"/>
    <m/>
    <x v="54"/>
    <s v="&gt;365 Days"/>
    <x v="0"/>
    <s v="Same Store Sales"/>
  </r>
  <r>
    <s v="REG2"/>
    <s v="DISTM"/>
    <x v="55"/>
    <s v="Crystal White"/>
    <s v="Yes"/>
    <s v="Hazel Jackson"/>
    <s v="115 S Hwy 52"/>
    <s v="Monck's Corner"/>
    <s v="SC"/>
    <s v="Berkeley"/>
    <n v="29461"/>
    <s v="843-761-5179"/>
    <m/>
    <x v="55"/>
    <s v="&gt;365 Days"/>
    <x v="1"/>
    <s v="Same Store Sales"/>
  </r>
  <r>
    <s v="REG2"/>
    <s v="DISTM"/>
    <x v="56"/>
    <s v="Charlene Cleveland"/>
    <s v="Yes"/>
    <s v="Robin Mccutchen"/>
    <s v="1105 N Hwy 52"/>
    <s v="Monck's Corner"/>
    <s v="SC"/>
    <s v="Berkeley"/>
    <n v="29461"/>
    <s v="843-761-5177"/>
    <m/>
    <x v="56"/>
    <s v="&gt;365 Days"/>
    <x v="1"/>
    <s v="Same Store Sales"/>
  </r>
  <r>
    <s v="REG2"/>
    <s v="DISTK"/>
    <x v="57"/>
    <s v="Kerri Perrone"/>
    <s v="Yes"/>
    <s v="Ashley White"/>
    <s v="1601 Central Ave"/>
    <s v="Summerville"/>
    <s v="SC"/>
    <s v="Berkeley"/>
    <n v="29486"/>
    <s v="843-875-5461"/>
    <m/>
    <x v="57"/>
    <s v="&gt;365 Days"/>
    <x v="1"/>
    <s v="Same Store Sales"/>
  </r>
  <r>
    <s v="REG2"/>
    <s v="DISTM"/>
    <x v="58"/>
    <s v="Melanie Miller"/>
    <s v="Yes"/>
    <m/>
    <s v="1111 Cane Bay Blvd"/>
    <s v="Summerville"/>
    <s v="SC"/>
    <s v="Berkeley"/>
    <n v="29486"/>
    <s v="843-899-7770"/>
    <m/>
    <x v="58"/>
    <s v="&gt;365 Days"/>
    <x v="1"/>
    <s v="Same Store Sales"/>
  </r>
  <r>
    <s v="REG2"/>
    <s v="DISTM"/>
    <x v="59"/>
    <s v="Laura Mielke"/>
    <s v="Yes"/>
    <s v="Bonita Washington"/>
    <s v="538 Red Bank Rd"/>
    <s v="Goose Creek"/>
    <s v="SC"/>
    <s v="Berkeley"/>
    <n v="29445"/>
    <s v="843-718-2170"/>
    <m/>
    <x v="59"/>
    <s v="&gt;365 Days"/>
    <x v="1"/>
    <s v="Same Store Sales"/>
  </r>
  <r>
    <s v="REG1"/>
    <s v="DISTC"/>
    <x v="60"/>
    <s v="Sarah Alanis"/>
    <s v="Yes"/>
    <s v="Neal Chamberlain"/>
    <s v="5906 Ogeechee Rd"/>
    <s v="Savannah"/>
    <s v="GA"/>
    <s v="Chatham"/>
    <n v="31419"/>
    <s v="912-658-3834"/>
    <m/>
    <x v="60"/>
    <s v="&gt;365 Days"/>
    <x v="0"/>
    <s v="Same Store Sales"/>
  </r>
  <r>
    <s v="REG2"/>
    <s v="DISTK"/>
    <x v="61"/>
    <s v="Lisa Steedly"/>
    <s v="Yes"/>
    <s v="Breanna Votta"/>
    <s v="774 N Jefferies Blvd"/>
    <s v="Walterboro"/>
    <s v="SC"/>
    <s v="Colleton"/>
    <n v="29488"/>
    <s v="843-310-3496"/>
    <m/>
    <x v="61"/>
    <s v="&gt;365 Days"/>
    <x v="1"/>
    <s v="Same Store Sales"/>
  </r>
  <r>
    <s v="REG2"/>
    <s v="DISTL"/>
    <x v="62"/>
    <s v="Nick Gillet (DLIT)"/>
    <s v="Yes"/>
    <m/>
    <s v="1140 Sam Rittenberg Blvd"/>
    <s v="Charleston"/>
    <s v="SC"/>
    <s v="Charleston"/>
    <n v="29407"/>
    <s v="843-637-0010"/>
    <m/>
    <x v="62"/>
    <s v="&gt;365 Days"/>
    <x v="1"/>
    <s v="Same Store Sales"/>
  </r>
  <r>
    <s v="REG2"/>
    <s v="DISTK"/>
    <x v="63"/>
    <s v="Jackie Smoak"/>
    <s v="Yes"/>
    <s v="Tawnya Brothers"/>
    <s v="1000 Linger Longer Rd"/>
    <s v="Summerville"/>
    <s v="SC"/>
    <s v="Berkeley"/>
    <n v="29483"/>
    <s v="843-806-6930"/>
    <m/>
    <x v="63"/>
    <s v="&gt;365 Days"/>
    <x v="1"/>
    <s v="Same Store Sales"/>
  </r>
  <r>
    <s v="REG1"/>
    <s v="DISTD"/>
    <x v="64"/>
    <s v="Azie Williams"/>
    <s v="Yes"/>
    <s v="David Pirch"/>
    <s v="1932 Montgomery Cross Rd"/>
    <s v="Savannah"/>
    <s v="GA"/>
    <s v="Chatham"/>
    <n v="31406"/>
    <s v="912-663-0707"/>
    <m/>
    <x v="64"/>
    <s v="&gt;365 Days"/>
    <x v="0"/>
    <s v="Same Store Sales"/>
  </r>
  <r>
    <s v="REG2"/>
    <s v="DISTK"/>
    <x v="65"/>
    <s v="Toby Gross"/>
    <s v="Yes"/>
    <m/>
    <s v="8108 Windsor Hill Blvd."/>
    <s v="N. Charleston"/>
    <s v="SC"/>
    <s v="Dorchester"/>
    <n v="29420"/>
    <s v="843-566-2564"/>
    <s v=" "/>
    <x v="65"/>
    <s v="&gt;365 Days"/>
    <x v="1"/>
    <s v="Same Store Sales"/>
  </r>
  <r>
    <s v="REG1"/>
    <s v="DISTE"/>
    <x v="66"/>
    <s v="Tonya Grant"/>
    <s v=" "/>
    <m/>
    <s v="10 Godley Station Blvd."/>
    <s v="Pooler"/>
    <s v="GA"/>
    <s v="Chatham"/>
    <n v="31322"/>
    <s v="912-800-3439"/>
    <m/>
    <x v="66"/>
    <s v="&gt;365 Days"/>
    <x v="0"/>
    <s v="Same Store Sales"/>
  </r>
  <r>
    <s v="REG2"/>
    <s v="DISTK"/>
    <x v="67"/>
    <s v="Brenda Wright"/>
    <s v="Yes"/>
    <s v="Tyler Jordan"/>
    <s v="3900 Ladson Rd"/>
    <s v="Summerville"/>
    <s v="SC"/>
    <s v="Charleston"/>
    <n v="29456"/>
    <s v="843-636-0163"/>
    <m/>
    <x v="67"/>
    <s v="&gt;365 Days"/>
    <x v="1"/>
    <s v="Same Store Sales"/>
  </r>
  <r>
    <s v="REG2"/>
    <s v="DISTM"/>
    <x v="68"/>
    <s v="Jessica Fletcher"/>
    <s v="Yes"/>
    <s v="Kathy Cera"/>
    <s v="106 Foxbank Plantation Blvd"/>
    <s v="Monck's Corner"/>
    <s v="SC"/>
    <s v="Berkeley"/>
    <n v="29461"/>
    <s v="843-964-4128"/>
    <m/>
    <x v="68"/>
    <s v="&gt;365 Days"/>
    <x v="1"/>
    <s v="Same Store Sales"/>
  </r>
  <r>
    <s v="REG2"/>
    <s v="DISTI"/>
    <x v="69"/>
    <s v="Beth Sansone"/>
    <s v="Yes"/>
    <s v="Latrelle Washington"/>
    <s v="430 William K. Hilton Pkwy"/>
    <s v="Hilton Head Island"/>
    <s v="SC"/>
    <s v="Beaufort"/>
    <n v="29926"/>
    <s v="843-964-4130"/>
    <m/>
    <x v="69"/>
    <s v="&gt;365 Days"/>
    <x v="1"/>
    <s v="Same Store Sales"/>
  </r>
  <r>
    <s v="REG1"/>
    <s v="DISTD"/>
    <x v="70"/>
    <s v="Robert Wray"/>
    <s v="Yes"/>
    <s v="Tyshawn King"/>
    <s v="21 E DeRenne Ave"/>
    <s v="Savannah"/>
    <s v="GA"/>
    <s v="Chatham"/>
    <n v="31405"/>
    <s v="912-721-7596"/>
    <m/>
    <x v="70"/>
    <s v="&gt;365 Days"/>
    <x v="0"/>
    <s v="Same Store Sales"/>
  </r>
  <r>
    <s v="REG2"/>
    <s v="DISTL"/>
    <x v="71"/>
    <s v="DL - Robert C."/>
    <s v="Yes"/>
    <s v="Quawnta Snow"/>
    <s v="3749 Savannah Hwy"/>
    <s v="Johns Island"/>
    <s v="SC"/>
    <s v="Charleston "/>
    <n v="29455"/>
    <s v="843-901-2014"/>
    <m/>
    <x v="71"/>
    <s v="&gt;365 Days"/>
    <x v="1"/>
    <s v="Same Store Sales"/>
  </r>
  <r>
    <s v="REG2"/>
    <s v="DISTI"/>
    <x v="72"/>
    <s v="Jasmina Osmanagich"/>
    <s v="Yes"/>
    <s v="Doreen Davis"/>
    <s v="5 Oliver Ct"/>
    <s v="Bluffton"/>
    <s v="SC"/>
    <s v="Beaufort "/>
    <n v="29910"/>
    <s v="843-974-1341"/>
    <m/>
    <x v="72"/>
    <s v="&gt;365 Days"/>
    <x v="1"/>
    <s v="Same Store Sales"/>
  </r>
  <r>
    <s v="REG1"/>
    <s v="DISTF"/>
    <x v="73"/>
    <s v="Wendy Williams"/>
    <s v="Yes"/>
    <s v="Katy Perry"/>
    <s v="4440 GA Hwy 17 S"/>
    <s v="Guyton"/>
    <s v="GA"/>
    <s v="Effingham"/>
    <n v="31312"/>
    <s v="912-721-7590"/>
    <s v=" "/>
    <x v="73"/>
    <s v="&gt;365 Days"/>
    <x v="0"/>
    <s v="Same Store Sales"/>
  </r>
  <r>
    <s v="REG2"/>
    <s v="DISTL"/>
    <x v="74"/>
    <s v="Ja'na Sheppard"/>
    <s v="Yes"/>
    <s v="Cynthia Bruce"/>
    <s v="5644 N. Rhett Ave"/>
    <s v="North Charleston"/>
    <s v="SC"/>
    <s v="Charleston"/>
    <n v="29406"/>
    <s v="843-897-0986"/>
    <m/>
    <x v="74"/>
    <s v="&gt;365 Days"/>
    <x v="1"/>
    <s v="Same Store Sales"/>
  </r>
  <r>
    <s v="REG2"/>
    <s v="DISTM"/>
    <x v="75"/>
    <s v="Henry Brown"/>
    <s v="Yes"/>
    <s v="Rachel Smith"/>
    <s v="230 Church St"/>
    <s v="Georgetown"/>
    <s v="SC"/>
    <s v="Georgetown"/>
    <n v="29440"/>
    <s v="843-619-2945"/>
    <s v=" "/>
    <x v="75"/>
    <s v="&gt;365 Days"/>
    <x v="1"/>
    <s v="Same Store Sales"/>
  </r>
  <r>
    <s v="REG2"/>
    <s v="DISTM"/>
    <x v="76"/>
    <s v="Kristina Smith"/>
    <s v="Yes"/>
    <s v="Quadae Doiley"/>
    <s v="1347 N Fraser St"/>
    <s v="Georgetown"/>
    <s v="SC"/>
    <s v="Georgetown"/>
    <n v="29440"/>
    <s v="843-897-0987"/>
    <m/>
    <x v="76"/>
    <s v="&gt;365 Days"/>
    <x v="1"/>
    <s v="Same Store Sales"/>
  </r>
  <r>
    <s v="REG1"/>
    <s v="DISTF"/>
    <x v="77"/>
    <s v="Naomi E Davis"/>
    <s v="Yes"/>
    <s v="Nathaniel  Weaver"/>
    <s v="107 N Columbia Avenue"/>
    <s v="Rincon"/>
    <s v="GA"/>
    <s v="Effingham"/>
    <n v="31326"/>
    <s v="912-244-2056"/>
    <s v=" "/>
    <x v="77"/>
    <s v="&gt;365 Days"/>
    <x v="0"/>
    <s v="Same Store Sales"/>
  </r>
  <r>
    <s v="REG2"/>
    <s v="DISTK"/>
    <x v="78"/>
    <s v="Kelly Naughton"/>
    <s v="Yes"/>
    <s v="Wendy Tipps"/>
    <s v="8251 Palmetto Commerce Pkwy."/>
    <s v="North Charleston"/>
    <s v="SC"/>
    <s v="Dorchester"/>
    <n v="29456"/>
    <s v="843-874-0061"/>
    <m/>
    <x v="78"/>
    <s v="&gt;365 Days"/>
    <x v="1"/>
    <s v="Same Store Sales"/>
  </r>
  <r>
    <s v="REG1"/>
    <s v="DISTG"/>
    <x v="79"/>
    <s v="Andrea Perkins"/>
    <s v="Yes"/>
    <s v="Deborah Richardson"/>
    <s v="214 N Main St"/>
    <s v="Statesboro"/>
    <s v="GA"/>
    <s v="Bulloch"/>
    <n v="30458"/>
    <s v="912-244-2042"/>
    <s v=" "/>
    <x v="79"/>
    <s v="&gt;365 Days"/>
    <x v="0"/>
    <s v="Same Store Sales"/>
  </r>
  <r>
    <s v="REG1"/>
    <s v="DISTC"/>
    <x v="80"/>
    <s v="Sarah Scardina Greifinger"/>
    <s v="Yes"/>
    <s v="Rose Williams"/>
    <s v="2500 Fort Argyle"/>
    <s v="Savannah"/>
    <s v="GA"/>
    <s v="Chatham"/>
    <n v="31302"/>
    <s v=" 912-446-4970"/>
    <m/>
    <x v="80"/>
    <s v="&gt;365 Days"/>
    <x v="0"/>
    <s v="Same Store Sales"/>
  </r>
  <r>
    <s v="REG2"/>
    <s v="DISTN"/>
    <x v="81"/>
    <s v="LaShaun Ryans"/>
    <s v="Yes"/>
    <s v="Michael Jones"/>
    <s v="140 Jeff Davis Hwy."/>
    <s v="Aiken"/>
    <s v="SC"/>
    <s v="Aiken"/>
    <n v="29801"/>
    <s v="803-339-0441"/>
    <m/>
    <x v="81"/>
    <s v="&gt;365 Days"/>
    <x v="1"/>
    <s v="Same Store Sales"/>
  </r>
  <r>
    <s v="REG1"/>
    <s v="DISTF"/>
    <x v="82"/>
    <s v="Judith Halliday (LIT)"/>
    <s v="Yes"/>
    <m/>
    <s v="2887 US Highway 80"/>
    <s v="Bloomingdale"/>
    <s v="GA"/>
    <s v="Effingham"/>
    <n v="31302"/>
    <s v="912-723-0005"/>
    <s v=" "/>
    <x v="82"/>
    <s v="&gt;365 Days"/>
    <x v="0"/>
    <s v="Same Store Sales"/>
  </r>
  <r>
    <s v="REG2"/>
    <s v="DISTL"/>
    <x v="83"/>
    <s v="Jana Sheppard"/>
    <s v="Yes"/>
    <s v="Matt Luopa &amp; Waldrick Burnside"/>
    <s v="1766 Ashley River Rd."/>
    <s v="Charleston"/>
    <s v="SC"/>
    <s v="Charleston"/>
    <n v="29407"/>
    <s v="843-732-9640"/>
    <m/>
    <x v="83"/>
    <s v="&gt;365 Days"/>
    <x v="1"/>
    <s v="Same Store Sales"/>
  </r>
  <r>
    <s v="REG1"/>
    <s v="DISTG"/>
    <x v="84"/>
    <s v="Carla Jones"/>
    <s v="Yes"/>
    <s v="Sharvae Lundy"/>
    <s v="17259 Highway 67"/>
    <s v="Statesboro"/>
    <s v="GA"/>
    <s v="Bulloch"/>
    <n v="30458"/>
    <s v="912-226-0351"/>
    <m/>
    <x v="84"/>
    <s v="&gt;365 Days"/>
    <x v="0"/>
    <s v="Same Store Sales"/>
  </r>
  <r>
    <s v="REG2"/>
    <s v="DISTN"/>
    <x v="85"/>
    <s v="Ashlynn Lanning"/>
    <s v="Yes"/>
    <s v="Sylvia Moyd"/>
    <s v="3661 Mike Padgett Highway"/>
    <s v="Augusta"/>
    <s v="GA"/>
    <s v="Richmond"/>
    <n v="30906"/>
    <s v="706-785-0003"/>
    <m/>
    <x v="85"/>
    <s v="&gt;365 Days"/>
    <x v="0"/>
    <s v="Same Store Sales"/>
  </r>
  <r>
    <s v="REG1"/>
    <s v="DISTC"/>
    <x v="86"/>
    <s v="Raechel Jones"/>
    <s v="Yes"/>
    <m/>
    <s v="1750 Grove Point Road"/>
    <s v="Savannah"/>
    <s v="GA"/>
    <s v="Chatham"/>
    <n v="31419"/>
    <s v="912-721-7580"/>
    <s v=" "/>
    <x v="86"/>
    <s v="&gt;365 Days"/>
    <x v="0"/>
    <s v="Same Store Sales"/>
  </r>
  <r>
    <s v="REG2"/>
    <s v="DISTL"/>
    <x v="87"/>
    <s v="Heather Mizell"/>
    <s v="Yes"/>
    <m/>
    <s v="343 College Park Rd"/>
    <s v="Ladson"/>
    <s v="SC"/>
    <s v="Dorchester"/>
    <n v="29456"/>
    <s v="843-897-0984"/>
    <s v=" "/>
    <x v="87"/>
    <s v="&gt;365 Days"/>
    <x v="1"/>
    <s v="Same Store Sales"/>
  </r>
  <r>
    <s v="REG2"/>
    <s v="DISTN"/>
    <x v="88"/>
    <s v="Tina Lanning"/>
    <s v="Yes"/>
    <s v="Linwood Nelson"/>
    <s v="5747 Jeff Davis Hwy."/>
    <s v="North Augusta"/>
    <s v="SC"/>
    <s v="Aiken "/>
    <n v="29841"/>
    <m/>
    <m/>
    <x v="88"/>
    <s v="&gt;365 Days"/>
    <x v="0"/>
    <s v="Same Store Sales"/>
  </r>
  <r>
    <s v="REG1"/>
    <s v="DISTF"/>
    <x v="89"/>
    <s v="Cheryl Hilton"/>
    <s v="Yes"/>
    <s v="Malik Turner"/>
    <s v="2991 Old Augusta Road S"/>
    <s v="Rincon"/>
    <s v="GA"/>
    <s v="Effingham"/>
    <n v="31326"/>
    <s v="912-514-1482"/>
    <m/>
    <x v="89"/>
    <s v="&gt;365 Days"/>
    <x v="0"/>
    <s v="Same Store Sales"/>
  </r>
  <r>
    <s v="REG2"/>
    <s v="DISTN"/>
    <x v="90"/>
    <s v="Rita Wynn"/>
    <s v="Yes"/>
    <s v="Alissa Eubanks"/>
    <s v="4102 Windsor Spring Road"/>
    <s v="Hephzibah"/>
    <s v="GA"/>
    <s v="Richmond"/>
    <n v="30815"/>
    <s v="706-592-8587"/>
    <m/>
    <x v="90"/>
    <s v="&gt;365 Days"/>
    <x v="0"/>
    <s v="Same Store Sales"/>
  </r>
  <r>
    <s v="REG1"/>
    <s v="DISTA"/>
    <x v="91"/>
    <s v="Christopher Thorhaug"/>
    <s v="Yes"/>
    <m/>
    <s v="1215 E King Ave."/>
    <s v="Kingsland"/>
    <s v="GA"/>
    <s v="Camden"/>
    <n v="31548"/>
    <s v="912-521-4003 - Ext. 5120"/>
    <m/>
    <x v="91"/>
    <s v="&gt;365 Days"/>
    <x v="0"/>
    <s v="Same Store Sales"/>
  </r>
  <r>
    <s v="REG2"/>
    <s v="DISTJ"/>
    <x v="92"/>
    <s v="Nick Underwood (DLIT)"/>
    <s v="Yes"/>
    <s v="Sonya Betties"/>
    <s v="311 Robert Smalls Parkway"/>
    <s v="Beaufort,"/>
    <s v="SC"/>
    <s v="Beaufort"/>
    <n v="29906"/>
    <s v="843-310-3304"/>
    <m/>
    <x v="92"/>
    <s v="&gt;365 Days"/>
    <x v="1"/>
    <s v="Same Store Sales"/>
  </r>
  <r>
    <s v="REG2"/>
    <s v="DISTN"/>
    <x v="93"/>
    <s v="Heather Whitt"/>
    <s v="Yes"/>
    <s v="Kourtnee Gaddist"/>
    <s v="5095 Washington Road"/>
    <s v="Evans"/>
    <s v="GA"/>
    <s v="Columbia"/>
    <n v="30809"/>
    <s v="706-426-9242"/>
    <m/>
    <x v="93"/>
    <s v="&gt;365 Days"/>
    <x v="0"/>
    <s v="Same Store Sales"/>
  </r>
  <r>
    <s v="REG2"/>
    <s v="DISTN"/>
    <x v="94"/>
    <s v="Patricia Hale"/>
    <s v="Yes"/>
    <s v="Linwood Nelson"/>
    <s v="925 Husk Box (1-20&amp;Horizon Pkwy)"/>
    <s v="Augusta"/>
    <s v="GA"/>
    <s v="Columbia"/>
    <n v="30813"/>
    <s v="912-483-3008"/>
    <m/>
    <x v="94"/>
    <s v="&gt;365 Days"/>
    <x v="0"/>
    <s v="Same Store Sales"/>
  </r>
  <r>
    <s v="REG2"/>
    <s v="DISTM"/>
    <x v="95"/>
    <s v="Melanie Miller"/>
    <s v="Yes"/>
    <s v="Kathy Cera"/>
    <s v="3018 S Live Oak Drive"/>
    <s v="Moncks Corner"/>
    <s v="SC"/>
    <s v="Berkeley"/>
    <n v="29461"/>
    <s v="843-868-2699 "/>
    <m/>
    <x v="94"/>
    <s v="&gt;365 Days"/>
    <x v="1"/>
    <s v="Same Store Sales"/>
  </r>
  <r>
    <s v="REG2"/>
    <s v="DISTN"/>
    <x v="96"/>
    <s v="Alyssa Shaffer"/>
    <s v="Yes"/>
    <m/>
    <s v="5170 Columbia Rd."/>
    <s v="Augusta"/>
    <s v="GA"/>
    <s v="Columbia"/>
    <n v="30809"/>
    <s v="706-350-1007"/>
    <m/>
    <x v="95"/>
    <s v="&gt;365 Days"/>
    <x v="0"/>
    <s v="Same Store Sales"/>
  </r>
  <r>
    <s v="REG1"/>
    <s v="DISTC"/>
    <x v="97"/>
    <s v="April Fugghett"/>
    <s v="Yes"/>
    <s v="Jacinta Cofer"/>
    <s v="2341 HWY 17"/>
    <s v="Richmond Hill"/>
    <s v="GA"/>
    <s v="Bryan"/>
    <n v="31324"/>
    <s v="912-445-9018"/>
    <m/>
    <x v="96"/>
    <s v="&gt;365 Days"/>
    <x v="0"/>
    <s v="Same Store Sales"/>
  </r>
  <r>
    <s v="REG3"/>
    <s v="DISTN"/>
    <x v="98"/>
    <s v="Antoinette Anderson (LIT)"/>
    <s v="Yes"/>
    <s v="Kimberley Self"/>
    <s v="893 Edgefield Road"/>
    <s v="North Augusta"/>
    <s v="SC"/>
    <s v="Aiken"/>
    <n v="29841"/>
    <s v="803-265-8058"/>
    <m/>
    <x v="97"/>
    <s v="&gt;365 Days"/>
    <x v="0"/>
    <s v="Same Store Sales"/>
  </r>
  <r>
    <s v="REG2"/>
    <s v="DISTN"/>
    <x v="99"/>
    <s v="DeBryan Davis "/>
    <s v="Yes"/>
    <s v="Brenda Yeagley"/>
    <s v="3645 Wheeler Rd"/>
    <s v="Augusta"/>
    <s v="GA"/>
    <s v="Richmond"/>
    <n v="30909"/>
    <s v="912-349-8001 "/>
    <m/>
    <x v="98"/>
    <s v="&lt;365 Days"/>
    <x v="0"/>
    <s v="New Store"/>
  </r>
  <r>
    <s v="REG3"/>
    <s v="DISTK"/>
    <x v="100"/>
    <s v="Shannon Waring"/>
    <s v="Yes"/>
    <s v="Christopher Ward"/>
    <s v="107 Sawmill Centre Dr."/>
    <s v="Summerville"/>
    <s v="SC"/>
    <s v="Dorchester"/>
    <n v="29486"/>
    <s v="843-874-0081"/>
    <m/>
    <x v="99"/>
    <s v="&lt;365 Days"/>
    <x v="1"/>
    <s v="New Store"/>
  </r>
  <r>
    <m/>
    <m/>
    <x v="101"/>
    <s v="David Sherman (DLIT)"/>
    <s v="Yes"/>
    <s v="Ryan Johnson"/>
    <s v="4099 Jimmie Dyess Parkway"/>
    <s v="Augusta"/>
    <s v="GA"/>
    <m/>
    <n v="30909"/>
    <s v="706-528-1009"/>
    <m/>
    <x v="100"/>
    <s v="&lt;365 Days"/>
    <x v="0"/>
    <s v="New Store"/>
  </r>
  <r>
    <s v="REG2"/>
    <s v="DISTF"/>
    <x v="102"/>
    <s v="Robin Bouie (DLIT)"/>
    <s v="Yes"/>
    <s v="Angelica Gunter"/>
    <s v="1493 Old River Rd"/>
    <s v="Bloomingdale"/>
    <s v="GA"/>
    <s v="Effingham"/>
    <n v="31302"/>
    <s v="912-446-2442"/>
    <m/>
    <x v="101"/>
    <s v="&lt;365 Days"/>
    <x v="0"/>
    <s v="New Store"/>
  </r>
  <r>
    <s v="REG3"/>
    <s v="DISTF"/>
    <x v="103"/>
    <s v="Amber Turner"/>
    <s v="Yes"/>
    <s v="Ariel Flowers"/>
    <s v="2905 Little Neck Rd."/>
    <s v="Bloomingdale"/>
    <s v="GA"/>
    <s v="Effingham"/>
    <n v="31302"/>
    <s v="912-446-2453"/>
    <m/>
    <x v="102"/>
    <s v="&lt;365 Days"/>
    <x v="0"/>
    <s v="New Store"/>
  </r>
  <r>
    <m/>
    <m/>
    <x v="104"/>
    <m/>
    <m/>
    <m/>
    <s v="3500 W Hwy. 501"/>
    <s v="Conway"/>
    <s v="SC"/>
    <m/>
    <m/>
    <m/>
    <m/>
    <x v="103"/>
    <s v="&lt;365 Days"/>
    <x v="1"/>
    <s v="New Store"/>
  </r>
  <r>
    <m/>
    <m/>
    <x v="105"/>
    <m/>
    <s v="Yes"/>
    <m/>
    <s v="1381 Hwy 17 "/>
    <s v="Little River"/>
    <s v="SC"/>
    <s v="Horry"/>
    <n v="29566"/>
    <m/>
    <m/>
    <x v="104"/>
    <s v="No"/>
    <x v="1"/>
    <s v="New Store"/>
  </r>
  <r>
    <m/>
    <m/>
    <x v="106"/>
    <m/>
    <s v="Yes"/>
    <m/>
    <s v="132 Highway 30 "/>
    <s v="Savannah "/>
    <s v="GA"/>
    <s v="Chatham"/>
    <n v="31407"/>
    <m/>
    <m/>
    <x v="105"/>
    <s v="No"/>
    <x v="0"/>
    <s v="New Store"/>
  </r>
  <r>
    <m/>
    <m/>
    <x v="107"/>
    <m/>
    <s v="Yes"/>
    <m/>
    <s v="895 Garden City Connector"/>
    <s v="Murrells Inlet"/>
    <s v="SC"/>
    <s v="Horry"/>
    <n v="29576"/>
    <m/>
    <m/>
    <x v="106"/>
    <s v="No"/>
    <x v="1"/>
    <s v="New Store"/>
  </r>
  <r>
    <m/>
    <m/>
    <x v="108"/>
    <m/>
    <s v="Yes"/>
    <m/>
    <s v="788 Inlet Square"/>
    <s v="Murrells Inlet"/>
    <s v="SC"/>
    <s v="Horry"/>
    <n v="29582"/>
    <m/>
    <m/>
    <x v="107"/>
    <s v="No"/>
    <x v="1"/>
    <s v="New Store"/>
  </r>
  <r>
    <m/>
    <m/>
    <x v="109"/>
    <m/>
    <s v="Yes"/>
    <m/>
    <s v="9581 Hwy 78"/>
    <s v="Ladson"/>
    <s v="SC"/>
    <s v="Charleston"/>
    <n v="29456"/>
    <m/>
    <m/>
    <x v="108"/>
    <s v="No"/>
    <x v="1"/>
    <s v="New St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821B4-A0F2-4ED4-BEE5-465951D032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E69" firstHeaderRow="1" firstDataRow="1" firstDataCol="5" rowPageCount="1" colPageCount="1"/>
  <pivotFields count="20">
    <pivotField compact="0" outline="0" showAll="0" defaultSubtotal="0"/>
    <pivotField compact="0" outline="0" showAll="0" defaultSubtotal="0"/>
    <pivotField axis="axisRow" compact="0" outline="0" showAll="0" defaultSubtotal="0">
      <items count="110">
        <item x="0"/>
        <item x="6"/>
        <item x="1"/>
        <item x="2"/>
        <item x="3"/>
        <item x="4"/>
        <item x="7"/>
        <item x="5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28"/>
        <item x="31"/>
        <item x="33"/>
        <item x="32"/>
        <item x="34"/>
        <item x="35"/>
        <item x="40"/>
        <item x="38"/>
        <item x="36"/>
        <item x="41"/>
        <item x="37"/>
        <item x="39"/>
        <item x="42"/>
        <item x="43"/>
        <item x="44"/>
        <item x="46"/>
        <item x="45"/>
        <item x="47"/>
        <item x="48"/>
        <item x="49"/>
        <item x="50"/>
        <item x="51"/>
        <item x="52"/>
        <item x="54"/>
        <item x="55"/>
        <item x="57"/>
        <item x="56"/>
        <item x="61"/>
        <item x="59"/>
        <item x="53"/>
        <item x="58"/>
        <item x="60"/>
        <item x="62"/>
        <item x="63"/>
        <item x="68"/>
        <item x="64"/>
        <item x="65"/>
        <item x="67"/>
        <item x="87"/>
        <item x="71"/>
        <item x="70"/>
        <item x="94"/>
        <item x="69"/>
        <item x="72"/>
        <item x="73"/>
        <item x="75"/>
        <item x="76"/>
        <item x="74"/>
        <item x="82"/>
        <item x="77"/>
        <item x="86"/>
        <item x="89"/>
        <item x="78"/>
        <item x="93"/>
        <item x="83"/>
        <item x="96"/>
        <item x="102"/>
        <item x="81"/>
        <item x="85"/>
        <item x="79"/>
        <item x="84"/>
        <item x="104"/>
        <item x="100"/>
        <item x="98"/>
        <item x="88"/>
        <item x="99"/>
        <item x="103"/>
        <item x="91"/>
        <item x="95"/>
        <item x="97"/>
        <item x="80"/>
        <item x="92"/>
        <item x="90"/>
        <item x="105"/>
        <item x="106"/>
        <item x="108"/>
        <item x="107"/>
        <item x="109"/>
        <item x="101"/>
        <item x="66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1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m="1" x="109"/>
        <item x="108"/>
      </items>
    </pivotField>
    <pivotField compact="0" outline="0" showAll="0" defaultSubtotal="0"/>
    <pivotField axis="axisPage" compact="0" outline="0" showAll="0" defaultSubtotal="0">
      <items count="2">
        <item x="1"/>
        <item x="0"/>
      </items>
    </pivotField>
    <pivotField compact="0" outline="0" showAll="0" defaultSubtotal="0"/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x="0"/>
        <item x="1"/>
        <item x="2"/>
        <item x="3"/>
        <item x="4"/>
        <item x="5"/>
      </items>
    </pivotField>
    <pivotField axis="axisRow" compact="0" outline="0" showAll="0" defaultSubtota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</pivotFields>
  <rowFields count="5">
    <field x="19"/>
    <field x="18"/>
    <field x="17"/>
    <field x="13"/>
    <field x="2"/>
  </rowFields>
  <rowItems count="66">
    <i>
      <x v="1"/>
      <x v="1"/>
      <x v="1"/>
      <x/>
      <x/>
    </i>
    <i>
      <x v="13"/>
      <x v="3"/>
      <x v="9"/>
      <x v="1"/>
      <x v="2"/>
    </i>
    <i>
      <x v="17"/>
      <x v="3"/>
      <x v="7"/>
      <x v="2"/>
      <x v="3"/>
    </i>
    <i>
      <x v="21"/>
      <x v="2"/>
      <x v="5"/>
      <x v="3"/>
      <x v="4"/>
    </i>
    <i>
      <x v="22"/>
      <x v="1"/>
      <x v="3"/>
      <x v="4"/>
      <x v="5"/>
    </i>
    <i r="1">
      <x v="4"/>
      <x v="12"/>
      <x v="5"/>
      <x v="7"/>
    </i>
    <i>
      <x v="24"/>
      <x v="1"/>
      <x v="1"/>
      <x v="6"/>
      <x v="1"/>
    </i>
    <i r="2">
      <x v="2"/>
      <x v="7"/>
      <x v="6"/>
    </i>
    <i r="1">
      <x v="4"/>
      <x v="12"/>
      <x v="8"/>
      <x v="8"/>
    </i>
    <i>
      <x v="25"/>
      <x v="1"/>
      <x v="1"/>
      <x v="9"/>
      <x v="9"/>
    </i>
    <i>
      <x v="26"/>
      <x v="4"/>
      <x v="10"/>
      <x v="10"/>
      <x v="10"/>
    </i>
    <i>
      <x v="27"/>
      <x v="3"/>
      <x v="8"/>
      <x v="11"/>
      <x v="11"/>
    </i>
    <i>
      <x v="28"/>
      <x v="2"/>
      <x v="4"/>
      <x v="12"/>
      <x v="12"/>
    </i>
    <i>
      <x v="30"/>
      <x v="4"/>
      <x v="12"/>
      <x v="13"/>
      <x v="13"/>
    </i>
    <i>
      <x v="31"/>
      <x v="4"/>
      <x v="12"/>
      <x v="14"/>
      <x v="14"/>
    </i>
    <i>
      <x v="32"/>
      <x v="1"/>
      <x v="2"/>
      <x v="15"/>
      <x v="15"/>
    </i>
    <i>
      <x v="33"/>
      <x v="4"/>
      <x v="10"/>
      <x v="16"/>
      <x v="16"/>
    </i>
    <i>
      <x v="36"/>
      <x v="1"/>
      <x v="1"/>
      <x v="19"/>
      <x v="19"/>
    </i>
    <i r="2">
      <x v="3"/>
      <x v="20"/>
      <x v="20"/>
    </i>
    <i r="1">
      <x v="4"/>
      <x v="12"/>
      <x v="22"/>
      <x v="22"/>
    </i>
    <i>
      <x v="37"/>
      <x v="4"/>
      <x v="10"/>
      <x v="24"/>
      <x v="24"/>
    </i>
    <i r="2">
      <x v="12"/>
      <x v="25"/>
      <x v="25"/>
    </i>
    <i>
      <x v="38"/>
      <x v="3"/>
      <x v="7"/>
      <x v="26"/>
      <x v="26"/>
    </i>
    <i r="2">
      <x v="8"/>
      <x v="27"/>
      <x v="27"/>
    </i>
    <i r="1">
      <x v="4"/>
      <x v="10"/>
      <x v="28"/>
      <x v="30"/>
    </i>
    <i r="2">
      <x v="11"/>
      <x v="30"/>
      <x v="29"/>
    </i>
    <i>
      <x v="39"/>
      <x v="1"/>
      <x v="1"/>
      <x v="31"/>
      <x v="31"/>
    </i>
    <i r="1">
      <x v="2"/>
      <x v="6"/>
      <x v="33"/>
      <x v="32"/>
    </i>
    <i>
      <x v="40"/>
      <x v="1"/>
      <x v="3"/>
      <x v="34"/>
      <x v="34"/>
    </i>
    <i r="1">
      <x v="3"/>
      <x v="8"/>
      <x v="35"/>
      <x v="35"/>
    </i>
    <i>
      <x v="41"/>
      <x v="1"/>
      <x v="1"/>
      <x v="39"/>
      <x v="41"/>
    </i>
    <i r="2">
      <x v="2"/>
      <x v="40"/>
      <x v="36"/>
    </i>
    <i r="1">
      <x v="4"/>
      <x v="10"/>
      <x v="44"/>
      <x v="44"/>
    </i>
    <i>
      <x v="42"/>
      <x v="1"/>
      <x v="2"/>
      <x v="45"/>
      <x v="46"/>
    </i>
    <i r="1">
      <x v="2"/>
      <x v="5"/>
      <x v="47"/>
      <x v="47"/>
    </i>
    <i r="1">
      <x v="4"/>
      <x v="11"/>
      <x v="48"/>
      <x v="48"/>
    </i>
    <i r="3">
      <x v="49"/>
      <x v="49"/>
    </i>
    <i>
      <x v="43"/>
      <x v="3"/>
      <x v="9"/>
      <x v="52"/>
      <x v="52"/>
    </i>
    <i>
      <x v="44"/>
      <x v="2"/>
      <x v="5"/>
      <x v="54"/>
      <x v="53"/>
    </i>
    <i r="1">
      <x v="4"/>
      <x v="10"/>
      <x v="60"/>
      <x v="61"/>
    </i>
    <i>
      <x v="45"/>
      <x v="3"/>
      <x v="8"/>
      <x v="64"/>
      <x v="65"/>
    </i>
    <i>
      <x v="46"/>
      <x v="1"/>
      <x v="2"/>
      <x v="66"/>
      <x v="109"/>
    </i>
    <i>
      <x v="47"/>
      <x v="4"/>
      <x v="11"/>
      <x v="70"/>
      <x v="70"/>
    </i>
    <i r="2">
      <x v="12"/>
      <x v="73"/>
      <x v="74"/>
    </i>
    <i>
      <x v="48"/>
      <x v="4"/>
      <x v="10"/>
      <x v="77"/>
      <x v="79"/>
    </i>
    <i r="2">
      <x v="12"/>
      <x v="79"/>
      <x v="89"/>
    </i>
    <i>
      <x v="49"/>
      <x v="1"/>
      <x v="3"/>
      <x v="80"/>
      <x v="100"/>
    </i>
    <i r="3">
      <x v="82"/>
      <x v="78"/>
    </i>
    <i r="1">
      <x v="2"/>
      <x v="5"/>
      <x v="84"/>
      <x v="90"/>
    </i>
    <i r="3">
      <x v="85"/>
      <x v="88"/>
    </i>
    <i r="3">
      <x v="86"/>
      <x v="80"/>
    </i>
    <i r="2">
      <x v="6"/>
      <x v="88"/>
      <x v="94"/>
    </i>
    <i r="1">
      <x v="3"/>
      <x v="8"/>
      <x v="89"/>
      <x v="81"/>
    </i>
    <i r="3">
      <x v="90"/>
      <x v="102"/>
    </i>
    <i r="2">
      <x v="9"/>
      <x v="91"/>
      <x v="97"/>
    </i>
    <i r="1">
      <x v="4"/>
      <x v="11"/>
      <x v="93"/>
      <x v="83"/>
    </i>
    <i r="2">
      <x v="12"/>
      <x v="94"/>
      <x v="71"/>
    </i>
    <i r="3">
      <x v="95"/>
      <x v="85"/>
    </i>
    <i>
      <x v="50"/>
      <x v="1"/>
      <x v="1"/>
      <x v="96"/>
      <x v="99"/>
    </i>
    <i r="2">
      <x v="2"/>
      <x v="97"/>
      <x v="93"/>
    </i>
    <i r="2">
      <x v="3"/>
      <x v="98"/>
      <x v="95"/>
    </i>
    <i r="1">
      <x v="3"/>
      <x v="7"/>
      <x v="100"/>
      <x v="108"/>
    </i>
    <i r="3">
      <x v="101"/>
      <x v="86"/>
    </i>
    <i r="3">
      <x v="102"/>
      <x v="96"/>
    </i>
    <i r="1">
      <x v="4"/>
      <x v="12"/>
      <x v="105"/>
      <x v="104"/>
    </i>
    <i t="grand">
      <x/>
    </i>
  </rowItems>
  <colItems count="1">
    <i/>
  </colItems>
  <pageFields count="1">
    <pageField fld="15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CD073-7F74-4BDA-BD05-7B99F7E3F043}" name="Table1" displayName="Table1" ref="A1:Q2" insertRow="1" totalsRowShown="0" headerRowDxfId="18" dataDxfId="17">
  <autoFilter ref="A1:Q2" xr:uid="{848CD073-7F74-4BDA-BD05-7B99F7E3F043}"/>
  <sortState xmlns:xlrd2="http://schemas.microsoft.com/office/spreadsheetml/2017/richdata2" ref="A2:Q2">
    <sortCondition ref="N1:N2"/>
  </sortState>
  <tableColumns count="17">
    <tableColumn id="1" xr3:uid="{76699A93-8E96-4887-9D2A-2D5BC5E332D5}" name="Region" dataDxfId="16"/>
    <tableColumn id="2" xr3:uid="{2A7A6B22-FE78-4FEC-B5AC-408BCF12C377}" name="District" dataDxfId="15"/>
    <tableColumn id="3" xr3:uid="{E668288C-A51F-4E85-AE78-6B04553B10A9}" name="Store" dataDxfId="14"/>
    <tableColumn id="4" xr3:uid="{2B6816B4-023A-4D53-8DFF-CD5AF64D9EE1}" name="Store Leader" dataDxfId="13"/>
    <tableColumn id="5" xr3:uid="{DF521BE2-A30A-4F8D-A9D5-6B920C6E67C1}" name="Kitchen" dataDxfId="12"/>
    <tableColumn id="6" xr3:uid="{C5A19527-7844-438C-BBCA-D6C73E68316B}" name="Kitchen Manager" dataDxfId="11"/>
    <tableColumn id="7" xr3:uid="{1E151481-0FA8-468A-BD22-82B697F78CA0}" name="Address" dataDxfId="10"/>
    <tableColumn id="8" xr3:uid="{A3D84B89-5920-42E7-935D-7411D688C0D2}" name="City" dataDxfId="9"/>
    <tableColumn id="9" xr3:uid="{CAB6EE7E-58C5-4686-A0AC-E47721388189}" name="State" dataDxfId="8"/>
    <tableColumn id="10" xr3:uid="{F81F8F76-AFA5-4FF8-A2CF-D6BA83E1BCC6}" name="County" dataDxfId="7"/>
    <tableColumn id="11" xr3:uid="{341F9B6B-380B-4191-85F0-8E21CEFF753A}" name="Zip" dataDxfId="6"/>
    <tableColumn id="12" xr3:uid="{BD16E655-1FF8-4FDD-ADD5-A0D3B565A6EF}" name="Phone" dataDxfId="5"/>
    <tableColumn id="13" xr3:uid="{8D0A86CA-3F3C-4FF6-8A06-F1A68FA1D0C6}" name="Fax" dataDxfId="4"/>
    <tableColumn id="14" xr3:uid="{19A2EC2D-0E34-4F41-ADB2-FC09F84D496A}" name="Opened" dataDxfId="3"/>
    <tableColumn id="15" xr3:uid="{735862EB-6770-4A41-B25D-AD5F3934FB12}" name="Comp Store" dataDxfId="2">
      <calculatedColumnFormula>IF(N2&lt; TODAY()-365,"Yes",IF(N2="NA","Not Open","No"))</calculatedColumnFormula>
    </tableColumn>
    <tableColumn id="16" xr3:uid="{9E39444C-37A6-4D22-BEAE-AD48F213AB4C}" name="Bottler" dataDxfId="1">
      <calculatedColumnFormula>IF(I2="GA","United",IF(Table1[[#This Row],[City]]="North Augusta","United","Consolidated"))</calculatedColumnFormula>
    </tableColumn>
    <tableColumn id="17" xr3:uid="{C6F03FE3-E993-41EA-8ABE-1E5A30127BE7}" name="Same Store Sales" dataDxfId="0">
      <calculatedColumnFormula>IF(Table1[[#This Row],[Comp Store]]="&gt;365 Days","Same Store Sales","New Store")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95045-A251-4E68-825A-19B92AA49AE6}">
  <dimension ref="A1:F69"/>
  <sheetViews>
    <sheetView topLeftCell="A37" workbookViewId="0">
      <selection activeCell="B62" sqref="B62"/>
    </sheetView>
  </sheetViews>
  <sheetFormatPr defaultRowHeight="15" x14ac:dyDescent="0.25"/>
  <cols>
    <col min="1" max="1" width="18.28515625" bestFit="1" customWidth="1"/>
    <col min="4" max="4" width="12.5703125" bestFit="1" customWidth="1"/>
    <col min="5" max="5" width="8" bestFit="1" customWidth="1"/>
    <col min="6" max="6" width="13.7109375" customWidth="1"/>
  </cols>
  <sheetData>
    <row r="1" spans="1:5" x14ac:dyDescent="0.25">
      <c r="A1" s="14" t="s">
        <v>15</v>
      </c>
      <c r="B1" t="s">
        <v>66</v>
      </c>
    </row>
    <row r="3" spans="1:5" x14ac:dyDescent="0.25">
      <c r="A3" s="14" t="s">
        <v>63</v>
      </c>
      <c r="B3" s="14" t="s">
        <v>64</v>
      </c>
      <c r="C3" s="14" t="s">
        <v>65</v>
      </c>
      <c r="D3" s="14" t="s">
        <v>13</v>
      </c>
      <c r="E3" s="14" t="s">
        <v>2</v>
      </c>
    </row>
    <row r="4" spans="1:5" x14ac:dyDescent="0.25">
      <c r="A4" t="s">
        <v>18</v>
      </c>
      <c r="B4" t="s">
        <v>19</v>
      </c>
      <c r="C4" t="s">
        <v>20</v>
      </c>
      <c r="D4" s="15">
        <v>27760</v>
      </c>
      <c r="E4">
        <v>1</v>
      </c>
    </row>
    <row r="5" spans="1:5" x14ac:dyDescent="0.25">
      <c r="A5" t="s">
        <v>21</v>
      </c>
      <c r="B5" t="s">
        <v>22</v>
      </c>
      <c r="C5" t="s">
        <v>23</v>
      </c>
      <c r="D5" s="15">
        <v>32394</v>
      </c>
      <c r="E5">
        <v>7</v>
      </c>
    </row>
    <row r="6" spans="1:5" x14ac:dyDescent="0.25">
      <c r="A6" t="s">
        <v>24</v>
      </c>
      <c r="B6" t="s">
        <v>22</v>
      </c>
      <c r="C6" t="s">
        <v>25</v>
      </c>
      <c r="D6" s="15">
        <v>33815</v>
      </c>
      <c r="E6">
        <v>13</v>
      </c>
    </row>
    <row r="7" spans="1:5" x14ac:dyDescent="0.25">
      <c r="A7" t="s">
        <v>26</v>
      </c>
      <c r="B7" t="s">
        <v>27</v>
      </c>
      <c r="C7" t="s">
        <v>28</v>
      </c>
      <c r="D7" s="15">
        <v>35186</v>
      </c>
      <c r="E7">
        <v>16</v>
      </c>
    </row>
    <row r="8" spans="1:5" x14ac:dyDescent="0.25">
      <c r="A8" t="s">
        <v>29</v>
      </c>
      <c r="B8" t="s">
        <v>19</v>
      </c>
      <c r="C8" t="s">
        <v>30</v>
      </c>
      <c r="D8" s="15">
        <v>35496</v>
      </c>
      <c r="E8">
        <v>17</v>
      </c>
    </row>
    <row r="9" spans="1:5" x14ac:dyDescent="0.25">
      <c r="B9" t="s">
        <v>31</v>
      </c>
      <c r="C9" t="s">
        <v>32</v>
      </c>
      <c r="D9" s="15">
        <v>35790</v>
      </c>
      <c r="E9">
        <v>20</v>
      </c>
    </row>
    <row r="10" spans="1:5" x14ac:dyDescent="0.25">
      <c r="A10" t="s">
        <v>33</v>
      </c>
      <c r="B10" t="s">
        <v>19</v>
      </c>
      <c r="C10" t="s">
        <v>20</v>
      </c>
      <c r="D10" s="15">
        <v>36161</v>
      </c>
      <c r="E10">
        <v>5</v>
      </c>
    </row>
    <row r="11" spans="1:5" x14ac:dyDescent="0.25">
      <c r="C11" t="s">
        <v>34</v>
      </c>
      <c r="D11" s="15">
        <v>36199</v>
      </c>
      <c r="E11">
        <v>19</v>
      </c>
    </row>
    <row r="12" spans="1:5" x14ac:dyDescent="0.25">
      <c r="B12" t="s">
        <v>31</v>
      </c>
      <c r="C12" t="s">
        <v>32</v>
      </c>
      <c r="D12" s="15">
        <v>36495</v>
      </c>
      <c r="E12">
        <v>21</v>
      </c>
    </row>
    <row r="13" spans="1:5" x14ac:dyDescent="0.25">
      <c r="A13" t="s">
        <v>35</v>
      </c>
      <c r="B13" t="s">
        <v>19</v>
      </c>
      <c r="C13" t="s">
        <v>20</v>
      </c>
      <c r="D13" s="15">
        <v>36526</v>
      </c>
      <c r="E13">
        <v>22</v>
      </c>
    </row>
    <row r="14" spans="1:5" x14ac:dyDescent="0.25">
      <c r="A14" t="s">
        <v>36</v>
      </c>
      <c r="B14" t="s">
        <v>31</v>
      </c>
      <c r="C14" t="s">
        <v>37</v>
      </c>
      <c r="D14" s="15">
        <v>37167</v>
      </c>
      <c r="E14">
        <v>25</v>
      </c>
    </row>
    <row r="15" spans="1:5" x14ac:dyDescent="0.25">
      <c r="A15" t="s">
        <v>38</v>
      </c>
      <c r="B15" t="s">
        <v>22</v>
      </c>
      <c r="C15" t="s">
        <v>39</v>
      </c>
      <c r="D15" s="15">
        <v>37483</v>
      </c>
      <c r="E15">
        <v>26</v>
      </c>
    </row>
    <row r="16" spans="1:5" x14ac:dyDescent="0.25">
      <c r="A16" t="s">
        <v>40</v>
      </c>
      <c r="B16" t="s">
        <v>27</v>
      </c>
      <c r="C16" t="s">
        <v>41</v>
      </c>
      <c r="D16" s="15">
        <v>37740</v>
      </c>
      <c r="E16">
        <v>27</v>
      </c>
    </row>
    <row r="17" spans="1:5" x14ac:dyDescent="0.25">
      <c r="A17" t="s">
        <v>42</v>
      </c>
      <c r="B17" t="s">
        <v>31</v>
      </c>
      <c r="C17" t="s">
        <v>32</v>
      </c>
      <c r="D17" s="15">
        <v>38713</v>
      </c>
      <c r="E17">
        <v>28</v>
      </c>
    </row>
    <row r="18" spans="1:5" x14ac:dyDescent="0.25">
      <c r="A18" t="s">
        <v>43</v>
      </c>
      <c r="B18" t="s">
        <v>31</v>
      </c>
      <c r="C18" t="s">
        <v>32</v>
      </c>
      <c r="D18" s="15">
        <v>39080</v>
      </c>
      <c r="E18">
        <v>29</v>
      </c>
    </row>
    <row r="19" spans="1:5" x14ac:dyDescent="0.25">
      <c r="A19" t="s">
        <v>44</v>
      </c>
      <c r="B19" t="s">
        <v>19</v>
      </c>
      <c r="C19" t="s">
        <v>34</v>
      </c>
      <c r="D19" s="15">
        <v>39141</v>
      </c>
      <c r="E19">
        <v>30</v>
      </c>
    </row>
    <row r="20" spans="1:5" x14ac:dyDescent="0.25">
      <c r="A20" t="s">
        <v>45</v>
      </c>
      <c r="B20" t="s">
        <v>31</v>
      </c>
      <c r="C20" t="s">
        <v>37</v>
      </c>
      <c r="D20" s="15">
        <v>39752</v>
      </c>
      <c r="E20">
        <v>31</v>
      </c>
    </row>
    <row r="21" spans="1:5" x14ac:dyDescent="0.25">
      <c r="A21" t="s">
        <v>47</v>
      </c>
      <c r="B21" t="s">
        <v>19</v>
      </c>
      <c r="C21" t="s">
        <v>20</v>
      </c>
      <c r="D21" s="15">
        <v>40544</v>
      </c>
      <c r="E21">
        <v>34</v>
      </c>
    </row>
    <row r="22" spans="1:5" x14ac:dyDescent="0.25">
      <c r="C22" t="s">
        <v>30</v>
      </c>
      <c r="D22" s="15">
        <v>40630</v>
      </c>
      <c r="E22">
        <v>35</v>
      </c>
    </row>
    <row r="23" spans="1:5" x14ac:dyDescent="0.25">
      <c r="B23" t="s">
        <v>31</v>
      </c>
      <c r="C23" t="s">
        <v>32</v>
      </c>
      <c r="D23" s="15">
        <v>40899</v>
      </c>
      <c r="E23">
        <v>37</v>
      </c>
    </row>
    <row r="24" spans="1:5" x14ac:dyDescent="0.25">
      <c r="A24" t="s">
        <v>48</v>
      </c>
      <c r="B24" t="s">
        <v>31</v>
      </c>
      <c r="C24" t="s">
        <v>37</v>
      </c>
      <c r="D24" s="15">
        <v>41201</v>
      </c>
      <c r="E24">
        <v>39</v>
      </c>
    </row>
    <row r="25" spans="1:5" x14ac:dyDescent="0.25">
      <c r="C25" t="s">
        <v>32</v>
      </c>
      <c r="D25" s="15">
        <v>41264</v>
      </c>
      <c r="E25">
        <v>40</v>
      </c>
    </row>
    <row r="26" spans="1:5" x14ac:dyDescent="0.25">
      <c r="A26" t="s">
        <v>49</v>
      </c>
      <c r="B26" t="s">
        <v>22</v>
      </c>
      <c r="C26" t="s">
        <v>25</v>
      </c>
      <c r="D26" s="15">
        <v>41473</v>
      </c>
      <c r="E26">
        <v>41</v>
      </c>
    </row>
    <row r="27" spans="1:5" x14ac:dyDescent="0.25">
      <c r="C27" t="s">
        <v>39</v>
      </c>
      <c r="D27" s="15">
        <v>41488</v>
      </c>
      <c r="E27">
        <v>42</v>
      </c>
    </row>
    <row r="28" spans="1:5" x14ac:dyDescent="0.25">
      <c r="B28" t="s">
        <v>31</v>
      </c>
      <c r="C28" t="s">
        <v>37</v>
      </c>
      <c r="D28" s="15">
        <v>41550</v>
      </c>
      <c r="E28">
        <v>45</v>
      </c>
    </row>
    <row r="29" spans="1:5" x14ac:dyDescent="0.25">
      <c r="C29" t="s">
        <v>46</v>
      </c>
      <c r="D29" s="15">
        <v>41600</v>
      </c>
      <c r="E29">
        <v>44</v>
      </c>
    </row>
    <row r="30" spans="1:5" x14ac:dyDescent="0.25">
      <c r="A30" t="s">
        <v>50</v>
      </c>
      <c r="B30" t="s">
        <v>19</v>
      </c>
      <c r="C30" t="s">
        <v>20</v>
      </c>
      <c r="D30" s="15">
        <v>41670</v>
      </c>
      <c r="E30">
        <v>46</v>
      </c>
    </row>
    <row r="31" spans="1:5" x14ac:dyDescent="0.25">
      <c r="B31" t="s">
        <v>27</v>
      </c>
      <c r="C31" t="s">
        <v>51</v>
      </c>
      <c r="D31" s="15">
        <v>41815</v>
      </c>
      <c r="E31">
        <v>47</v>
      </c>
    </row>
    <row r="32" spans="1:5" x14ac:dyDescent="0.25">
      <c r="A32" t="s">
        <v>52</v>
      </c>
      <c r="B32" t="s">
        <v>19</v>
      </c>
      <c r="C32" t="s">
        <v>30</v>
      </c>
      <c r="D32" s="15">
        <v>42093</v>
      </c>
      <c r="E32">
        <v>49</v>
      </c>
    </row>
    <row r="33" spans="1:6" x14ac:dyDescent="0.25">
      <c r="B33" t="s">
        <v>22</v>
      </c>
      <c r="C33" t="s">
        <v>39</v>
      </c>
      <c r="D33" s="15">
        <v>42237</v>
      </c>
      <c r="E33">
        <v>51</v>
      </c>
    </row>
    <row r="34" spans="1:6" x14ac:dyDescent="0.25">
      <c r="A34" t="s">
        <v>53</v>
      </c>
      <c r="B34" t="s">
        <v>19</v>
      </c>
      <c r="C34" t="s">
        <v>20</v>
      </c>
      <c r="D34" s="15">
        <v>42398</v>
      </c>
      <c r="E34">
        <v>57</v>
      </c>
    </row>
    <row r="35" spans="1:6" x14ac:dyDescent="0.25">
      <c r="C35" t="s">
        <v>34</v>
      </c>
      <c r="D35" s="15">
        <v>42411</v>
      </c>
      <c r="E35">
        <v>52</v>
      </c>
    </row>
    <row r="36" spans="1:6" x14ac:dyDescent="0.25">
      <c r="B36" t="s">
        <v>31</v>
      </c>
      <c r="C36" t="s">
        <v>37</v>
      </c>
      <c r="D36" s="15">
        <v>42654</v>
      </c>
      <c r="E36">
        <v>60</v>
      </c>
    </row>
    <row r="37" spans="1:6" x14ac:dyDescent="0.25">
      <c r="A37" t="s">
        <v>54</v>
      </c>
      <c r="B37" t="s">
        <v>19</v>
      </c>
      <c r="C37" t="s">
        <v>34</v>
      </c>
      <c r="D37" s="15">
        <v>42769</v>
      </c>
      <c r="E37">
        <v>62</v>
      </c>
    </row>
    <row r="38" spans="1:6" x14ac:dyDescent="0.25">
      <c r="B38" t="s">
        <v>27</v>
      </c>
      <c r="C38" t="s">
        <v>28</v>
      </c>
      <c r="D38" s="15">
        <v>42867</v>
      </c>
      <c r="E38">
        <v>63</v>
      </c>
    </row>
    <row r="39" spans="1:6" x14ac:dyDescent="0.25">
      <c r="B39" t="s">
        <v>31</v>
      </c>
      <c r="C39" t="s">
        <v>46</v>
      </c>
      <c r="D39" s="15">
        <v>43042</v>
      </c>
      <c r="E39">
        <v>64</v>
      </c>
    </row>
    <row r="40" spans="1:6" x14ac:dyDescent="0.25">
      <c r="D40" s="15">
        <v>43049</v>
      </c>
      <c r="E40">
        <v>65</v>
      </c>
    </row>
    <row r="41" spans="1:6" x14ac:dyDescent="0.25">
      <c r="A41" t="s">
        <v>55</v>
      </c>
      <c r="B41" t="s">
        <v>22</v>
      </c>
      <c r="C41" t="s">
        <v>23</v>
      </c>
      <c r="D41" s="15">
        <v>43363</v>
      </c>
      <c r="E41">
        <v>68</v>
      </c>
    </row>
    <row r="42" spans="1:6" x14ac:dyDescent="0.25">
      <c r="A42" t="s">
        <v>56</v>
      </c>
      <c r="B42" t="s">
        <v>27</v>
      </c>
      <c r="C42" t="s">
        <v>28</v>
      </c>
      <c r="D42" s="15">
        <v>43587</v>
      </c>
      <c r="E42">
        <v>69</v>
      </c>
    </row>
    <row r="43" spans="1:6" x14ac:dyDescent="0.25">
      <c r="B43" t="s">
        <v>31</v>
      </c>
      <c r="C43" t="s">
        <v>37</v>
      </c>
      <c r="D43" s="15">
        <v>43763</v>
      </c>
      <c r="E43">
        <v>78</v>
      </c>
    </row>
    <row r="44" spans="1:6" x14ac:dyDescent="0.25">
      <c r="A44" t="s">
        <v>57</v>
      </c>
      <c r="B44" t="s">
        <v>22</v>
      </c>
      <c r="C44" t="s">
        <v>39</v>
      </c>
      <c r="D44" s="15">
        <v>44063</v>
      </c>
      <c r="E44">
        <v>82</v>
      </c>
    </row>
    <row r="45" spans="1:6" x14ac:dyDescent="0.25">
      <c r="A45" t="s">
        <v>58</v>
      </c>
      <c r="B45" t="s">
        <v>19</v>
      </c>
      <c r="C45" t="s">
        <v>34</v>
      </c>
      <c r="D45" s="15">
        <v>44245</v>
      </c>
      <c r="E45">
        <v>3001</v>
      </c>
    </row>
    <row r="46" spans="1:6" x14ac:dyDescent="0.25">
      <c r="A46" t="s">
        <v>59</v>
      </c>
      <c r="B46" t="s">
        <v>31</v>
      </c>
      <c r="C46" t="s">
        <v>46</v>
      </c>
      <c r="D46" s="15">
        <v>44869</v>
      </c>
      <c r="E46">
        <v>88</v>
      </c>
      <c r="F46" s="16" t="s">
        <v>67</v>
      </c>
    </row>
    <row r="47" spans="1:6" x14ac:dyDescent="0.25">
      <c r="C47" t="s">
        <v>32</v>
      </c>
      <c r="D47" s="15">
        <v>44923</v>
      </c>
      <c r="E47">
        <v>92</v>
      </c>
    </row>
    <row r="48" spans="1:6" x14ac:dyDescent="0.25">
      <c r="A48" t="s">
        <v>60</v>
      </c>
      <c r="B48" t="s">
        <v>31</v>
      </c>
      <c r="C48" t="s">
        <v>37</v>
      </c>
      <c r="D48" s="15">
        <v>45203</v>
      </c>
      <c r="E48">
        <v>98</v>
      </c>
      <c r="F48" s="15">
        <f t="shared" ref="F48:F49" si="0">365+D48</f>
        <v>45568</v>
      </c>
    </row>
    <row r="49" spans="1:6" x14ac:dyDescent="0.25">
      <c r="C49" t="s">
        <v>32</v>
      </c>
      <c r="D49" s="15">
        <v>45280</v>
      </c>
      <c r="E49">
        <v>111</v>
      </c>
      <c r="F49" s="15">
        <f t="shared" si="0"/>
        <v>45645</v>
      </c>
    </row>
    <row r="50" spans="1:6" x14ac:dyDescent="0.25">
      <c r="A50" t="s">
        <v>61</v>
      </c>
      <c r="B50" t="s">
        <v>19</v>
      </c>
      <c r="C50" t="s">
        <v>30</v>
      </c>
      <c r="D50" s="15">
        <v>45364</v>
      </c>
      <c r="E50">
        <v>123</v>
      </c>
      <c r="F50" s="15">
        <f>365+D50</f>
        <v>45729</v>
      </c>
    </row>
    <row r="51" spans="1:6" x14ac:dyDescent="0.25">
      <c r="D51" s="15">
        <v>45371</v>
      </c>
      <c r="E51">
        <v>97</v>
      </c>
      <c r="F51" s="15">
        <f t="shared" ref="F51:F68" si="1">365+D51</f>
        <v>45736</v>
      </c>
    </row>
    <row r="52" spans="1:6" x14ac:dyDescent="0.25">
      <c r="B52" t="s">
        <v>27</v>
      </c>
      <c r="C52" t="s">
        <v>28</v>
      </c>
      <c r="D52" s="15">
        <v>45413</v>
      </c>
      <c r="E52">
        <v>112</v>
      </c>
      <c r="F52" s="15">
        <f t="shared" si="1"/>
        <v>45778</v>
      </c>
    </row>
    <row r="53" spans="1:6" x14ac:dyDescent="0.25">
      <c r="D53" s="15">
        <v>45420</v>
      </c>
      <c r="E53">
        <v>110</v>
      </c>
      <c r="F53" s="15">
        <f t="shared" si="1"/>
        <v>45785</v>
      </c>
    </row>
    <row r="54" spans="1:6" x14ac:dyDescent="0.25">
      <c r="D54" s="15">
        <v>45435</v>
      </c>
      <c r="E54">
        <v>100</v>
      </c>
      <c r="F54" s="15">
        <f t="shared" si="1"/>
        <v>45800</v>
      </c>
    </row>
    <row r="55" spans="1:6" x14ac:dyDescent="0.25">
      <c r="C55" t="s">
        <v>51</v>
      </c>
      <c r="D55" s="15">
        <v>45455</v>
      </c>
      <c r="E55">
        <v>117</v>
      </c>
      <c r="F55" s="15">
        <f t="shared" si="1"/>
        <v>45820</v>
      </c>
    </row>
    <row r="56" spans="1:6" x14ac:dyDescent="0.25">
      <c r="B56" t="s">
        <v>22</v>
      </c>
      <c r="C56" t="s">
        <v>39</v>
      </c>
      <c r="D56" s="15">
        <v>45511</v>
      </c>
      <c r="E56">
        <v>102</v>
      </c>
      <c r="F56" s="15">
        <f t="shared" si="1"/>
        <v>45876</v>
      </c>
    </row>
    <row r="57" spans="1:6" x14ac:dyDescent="0.25">
      <c r="D57" s="15">
        <v>45513</v>
      </c>
      <c r="E57">
        <v>125</v>
      </c>
      <c r="F57" s="15">
        <f t="shared" si="1"/>
        <v>45878</v>
      </c>
    </row>
    <row r="58" spans="1:6" x14ac:dyDescent="0.25">
      <c r="C58" t="s">
        <v>23</v>
      </c>
      <c r="D58" s="15">
        <v>45560</v>
      </c>
      <c r="E58">
        <v>120</v>
      </c>
      <c r="F58" s="15">
        <f t="shared" si="1"/>
        <v>45925</v>
      </c>
    </row>
    <row r="59" spans="1:6" x14ac:dyDescent="0.25">
      <c r="B59" t="s">
        <v>31</v>
      </c>
      <c r="C59" t="s">
        <v>46</v>
      </c>
      <c r="D59" s="15">
        <v>45623</v>
      </c>
      <c r="E59">
        <v>104</v>
      </c>
      <c r="F59" s="15">
        <f t="shared" si="1"/>
        <v>45988</v>
      </c>
    </row>
    <row r="60" spans="1:6" x14ac:dyDescent="0.25">
      <c r="C60" t="s">
        <v>32</v>
      </c>
      <c r="D60" s="15">
        <v>45637</v>
      </c>
      <c r="E60">
        <v>89</v>
      </c>
      <c r="F60" s="15">
        <f t="shared" si="1"/>
        <v>46002</v>
      </c>
    </row>
    <row r="61" spans="1:6" x14ac:dyDescent="0.25">
      <c r="D61" s="15">
        <v>45644</v>
      </c>
      <c r="E61">
        <v>107</v>
      </c>
      <c r="F61" s="15">
        <f t="shared" si="1"/>
        <v>46009</v>
      </c>
    </row>
    <row r="62" spans="1:6" x14ac:dyDescent="0.25">
      <c r="A62" t="s">
        <v>62</v>
      </c>
      <c r="B62" t="s">
        <v>19</v>
      </c>
      <c r="C62" t="s">
        <v>20</v>
      </c>
      <c r="D62" s="15">
        <v>45686</v>
      </c>
      <c r="E62">
        <v>122</v>
      </c>
      <c r="F62" s="15">
        <f t="shared" si="1"/>
        <v>46051</v>
      </c>
    </row>
    <row r="63" spans="1:6" x14ac:dyDescent="0.25">
      <c r="C63" t="s">
        <v>34</v>
      </c>
      <c r="D63" s="15">
        <v>45707</v>
      </c>
      <c r="E63">
        <v>116</v>
      </c>
      <c r="F63" s="15">
        <f t="shared" si="1"/>
        <v>46072</v>
      </c>
    </row>
    <row r="64" spans="1:6" x14ac:dyDescent="0.25">
      <c r="C64" t="s">
        <v>30</v>
      </c>
      <c r="D64" s="15">
        <v>45728</v>
      </c>
      <c r="E64">
        <v>118</v>
      </c>
      <c r="F64" s="15">
        <f t="shared" si="1"/>
        <v>46093</v>
      </c>
    </row>
    <row r="65" spans="1:6" x14ac:dyDescent="0.25">
      <c r="B65" t="s">
        <v>22</v>
      </c>
      <c r="C65" t="s">
        <v>25</v>
      </c>
      <c r="D65" s="15">
        <v>45840</v>
      </c>
      <c r="E65">
        <v>132</v>
      </c>
      <c r="F65" s="15">
        <f t="shared" si="1"/>
        <v>46205</v>
      </c>
    </row>
    <row r="66" spans="1:6" x14ac:dyDescent="0.25">
      <c r="D66" s="15">
        <v>45841</v>
      </c>
      <c r="E66">
        <v>108</v>
      </c>
      <c r="F66" s="15">
        <f t="shared" si="1"/>
        <v>46206</v>
      </c>
    </row>
    <row r="67" spans="1:6" x14ac:dyDescent="0.25">
      <c r="D67" s="15">
        <v>45847</v>
      </c>
      <c r="E67">
        <v>119</v>
      </c>
      <c r="F67" s="15">
        <f t="shared" si="1"/>
        <v>46212</v>
      </c>
    </row>
    <row r="68" spans="1:6" x14ac:dyDescent="0.25">
      <c r="B68" t="s">
        <v>31</v>
      </c>
      <c r="C68" t="s">
        <v>32</v>
      </c>
      <c r="D68" s="15">
        <v>46008</v>
      </c>
      <c r="E68">
        <v>128</v>
      </c>
      <c r="F68" s="15">
        <f t="shared" si="1"/>
        <v>46373</v>
      </c>
    </row>
    <row r="69" spans="1:6" x14ac:dyDescent="0.25">
      <c r="A69" t="s">
        <v>17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5BAA7-E9AC-411C-B196-6AC98A4CC5D6}">
  <sheetPr>
    <pageSetUpPr fitToPage="1"/>
  </sheetPr>
  <dimension ref="A1:Q2"/>
  <sheetViews>
    <sheetView tabSelected="1" zoomScale="90" zoomScaleNormal="90" workbookViewId="0">
      <pane ySplit="1" topLeftCell="A2" activePane="bottomLeft" state="frozen"/>
      <selection pane="bottomLeft" activeCell="F5" sqref="F5"/>
    </sheetView>
  </sheetViews>
  <sheetFormatPr defaultColWidth="9.140625" defaultRowHeight="15.75" x14ac:dyDescent="0.25"/>
  <cols>
    <col min="1" max="1" width="17.5703125" style="1" customWidth="1"/>
    <col min="2" max="2" width="17.7109375" style="1" customWidth="1"/>
    <col min="3" max="3" width="12.28515625" style="13" bestFit="1" customWidth="1"/>
    <col min="4" max="4" width="24.7109375" style="1" bestFit="1" customWidth="1"/>
    <col min="5" max="5" width="12" style="1" bestFit="1" customWidth="1"/>
    <col min="6" max="6" width="34.5703125" style="1" bestFit="1" customWidth="1"/>
    <col min="7" max="7" width="31.7109375" style="1" bestFit="1" customWidth="1"/>
    <col min="8" max="8" width="23.140625" style="1" customWidth="1"/>
    <col min="9" max="9" width="9.5703125" style="1" bestFit="1" customWidth="1"/>
    <col min="10" max="10" width="14.140625" style="1" bestFit="1" customWidth="1"/>
    <col min="11" max="11" width="9.140625" style="1" bestFit="1" customWidth="1"/>
    <col min="12" max="12" width="24.28515625" style="1" bestFit="1" customWidth="1"/>
    <col min="13" max="13" width="15.7109375" style="1" bestFit="1" customWidth="1"/>
    <col min="14" max="14" width="15.42578125" style="13" bestFit="1" customWidth="1"/>
    <col min="15" max="15" width="16.28515625" style="13" customWidth="1"/>
    <col min="16" max="16" width="14.85546875" style="13" bestFit="1" customWidth="1"/>
    <col min="17" max="17" width="20.42578125" style="1" customWidth="1"/>
    <col min="18" max="16384" width="9.140625" style="1"/>
  </cols>
  <sheetData>
    <row r="1" spans="1:17" x14ac:dyDescent="0.25">
      <c r="A1" s="7" t="s">
        <v>0</v>
      </c>
      <c r="B1" s="8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8" t="s">
        <v>10</v>
      </c>
      <c r="L1" s="10" t="s">
        <v>11</v>
      </c>
      <c r="M1" s="10" t="s">
        <v>12</v>
      </c>
      <c r="N1" s="11" t="s">
        <v>13</v>
      </c>
      <c r="O1" s="12" t="s">
        <v>14</v>
      </c>
      <c r="P1" s="9" t="s">
        <v>15</v>
      </c>
      <c r="Q1" s="17" t="s">
        <v>16</v>
      </c>
    </row>
    <row r="2" spans="1:17" ht="15" customHeight="1" x14ac:dyDescent="0.25">
      <c r="B2" s="2"/>
      <c r="C2" s="3"/>
      <c r="D2" s="2"/>
      <c r="E2" s="2"/>
      <c r="F2" s="2"/>
      <c r="G2" s="2"/>
      <c r="H2" s="2"/>
      <c r="I2" s="2"/>
      <c r="J2" s="2"/>
      <c r="K2" s="2"/>
      <c r="L2" s="4"/>
      <c r="M2" s="5"/>
      <c r="N2" s="6"/>
    </row>
  </sheetData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NUMERICAL 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Mongin</dc:creator>
  <cp:keywords/>
  <dc:description/>
  <cp:lastModifiedBy>Nobin Babu</cp:lastModifiedBy>
  <cp:revision/>
  <dcterms:created xsi:type="dcterms:W3CDTF">2024-09-05T12:35:17Z</dcterms:created>
  <dcterms:modified xsi:type="dcterms:W3CDTF">2026-07-08T16:19:18Z</dcterms:modified>
  <cp:category/>
  <cp:contentStatus/>
</cp:coreProperties>
</file>